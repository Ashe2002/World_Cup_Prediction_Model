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er\Documents\World Cup Predictor\Football\"/>
    </mc:Choice>
  </mc:AlternateContent>
  <xr:revisionPtr revIDLastSave="0" documentId="13_ncr:2001_{2FBB6E4B-4E60-43AE-8C38-D702DB3EEF2F}" xr6:coauthVersionLast="47" xr6:coauthVersionMax="47" xr10:uidLastSave="{00000000-0000-0000-0000-000000000000}"/>
  <bookViews>
    <workbookView xWindow="9510" yWindow="0" windowWidth="9780" windowHeight="10170" xr2:uid="{2620BA3F-FCC6-412B-982D-2495773E71F4}"/>
  </bookViews>
  <sheets>
    <sheet name="Sheet1" sheetId="1" r:id="rId1"/>
    <sheet name="Sheet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8" i="1" l="1"/>
  <c r="S96" i="1"/>
  <c r="S95" i="1"/>
  <c r="S92" i="1"/>
  <c r="S91" i="1"/>
  <c r="S88" i="1"/>
  <c r="S87" i="1"/>
  <c r="S84" i="1"/>
  <c r="S83" i="1"/>
  <c r="S80" i="1"/>
  <c r="S79" i="1"/>
  <c r="S76" i="1"/>
  <c r="S75" i="1"/>
  <c r="S72" i="1"/>
  <c r="S71" i="1"/>
  <c r="S68" i="1"/>
  <c r="S67" i="1"/>
  <c r="S64" i="1"/>
  <c r="S63" i="1"/>
  <c r="S60" i="1"/>
  <c r="S59" i="1"/>
  <c r="S56" i="1"/>
  <c r="S55" i="1"/>
  <c r="S52" i="1"/>
  <c r="S51" i="1"/>
  <c r="S48" i="1"/>
  <c r="S47" i="1"/>
  <c r="S44" i="1"/>
  <c r="S43" i="1"/>
  <c r="S40" i="1"/>
  <c r="S39" i="1"/>
  <c r="S36" i="1"/>
  <c r="S35" i="1"/>
  <c r="T32" i="1"/>
  <c r="S32" i="1"/>
  <c r="S31" i="1"/>
  <c r="S28" i="1"/>
  <c r="S27" i="1"/>
  <c r="S24" i="1"/>
  <c r="S23" i="1"/>
  <c r="S20" i="1"/>
  <c r="S19" i="1"/>
  <c r="S16" i="1"/>
  <c r="S15" i="1"/>
  <c r="S12" i="1"/>
  <c r="S11" i="1"/>
  <c r="S8" i="1"/>
  <c r="S7" i="1"/>
  <c r="S4" i="1"/>
  <c r="S3" i="1"/>
  <c r="T169" i="2"/>
  <c r="T168" i="2"/>
  <c r="T167" i="2"/>
  <c r="T166" i="2"/>
  <c r="T165" i="2"/>
  <c r="T164" i="2"/>
  <c r="T162" i="2"/>
  <c r="T161" i="2"/>
  <c r="T160" i="2"/>
  <c r="T159" i="2"/>
  <c r="T158" i="2"/>
  <c r="T157" i="2"/>
  <c r="T155" i="2"/>
  <c r="T154" i="2"/>
  <c r="T153" i="2"/>
  <c r="T152" i="2"/>
  <c r="U151" i="2"/>
  <c r="T151" i="2"/>
  <c r="T150" i="2"/>
  <c r="T148" i="2"/>
  <c r="T147" i="2"/>
  <c r="T146" i="2"/>
  <c r="T145" i="2"/>
  <c r="T144" i="2"/>
  <c r="T143" i="2"/>
  <c r="T138" i="2"/>
  <c r="T137" i="2"/>
  <c r="T136" i="2"/>
  <c r="T131" i="2"/>
  <c r="T130" i="2"/>
  <c r="T129" i="2"/>
  <c r="T124" i="2"/>
  <c r="T123" i="2"/>
  <c r="T122" i="2"/>
  <c r="T117" i="2"/>
  <c r="T116" i="2"/>
  <c r="T115" i="2"/>
  <c r="T110" i="2"/>
  <c r="T109" i="2"/>
  <c r="T108" i="2"/>
  <c r="T103" i="2"/>
  <c r="T102" i="2"/>
  <c r="T101" i="2"/>
  <c r="T96" i="2"/>
  <c r="T95" i="2"/>
  <c r="T94" i="2"/>
  <c r="T89" i="2"/>
  <c r="T88" i="2"/>
  <c r="T87" i="2"/>
  <c r="T82" i="2"/>
  <c r="T81" i="2"/>
  <c r="T80" i="2"/>
  <c r="T75" i="2"/>
  <c r="T74" i="2"/>
  <c r="T73" i="2"/>
  <c r="T68" i="2"/>
  <c r="T67" i="2"/>
  <c r="T66" i="2"/>
  <c r="T61" i="2"/>
  <c r="T60" i="2"/>
  <c r="T59" i="2"/>
  <c r="T54" i="2"/>
  <c r="T53" i="2"/>
  <c r="T52" i="2"/>
  <c r="T47" i="2"/>
  <c r="T46" i="2"/>
  <c r="T45" i="2"/>
  <c r="T40" i="2"/>
  <c r="T39" i="2"/>
  <c r="T38" i="2"/>
  <c r="T33" i="2"/>
  <c r="T32" i="2"/>
  <c r="T31" i="2"/>
  <c r="T26" i="2"/>
  <c r="T25" i="2"/>
  <c r="T24" i="2"/>
  <c r="T19" i="2"/>
  <c r="T18" i="2"/>
  <c r="T17" i="2"/>
  <c r="T12" i="2"/>
  <c r="T11" i="2"/>
  <c r="T10" i="2"/>
  <c r="T5" i="2"/>
  <c r="T4" i="2"/>
  <c r="T3" i="2"/>
  <c r="G92" i="1"/>
  <c r="G91" i="1"/>
  <c r="G88" i="1"/>
  <c r="G87" i="1"/>
  <c r="G84" i="1"/>
  <c r="G83" i="1"/>
  <c r="G80" i="1"/>
  <c r="G79" i="1"/>
  <c r="G76" i="1"/>
  <c r="G75" i="1"/>
  <c r="G72" i="1"/>
  <c r="G71" i="1"/>
  <c r="G68" i="1"/>
  <c r="G67" i="1"/>
  <c r="G64" i="1"/>
  <c r="G63" i="1"/>
  <c r="G60" i="1"/>
  <c r="G59" i="1"/>
  <c r="G56" i="1"/>
  <c r="G55" i="1"/>
  <c r="G52" i="1"/>
  <c r="G51" i="1"/>
  <c r="G48" i="1"/>
  <c r="G47" i="1"/>
  <c r="G44" i="1"/>
  <c r="G43" i="1"/>
  <c r="G40" i="1"/>
  <c r="G39" i="1"/>
  <c r="G36" i="1"/>
  <c r="G35" i="1"/>
  <c r="G32" i="1"/>
  <c r="G31" i="1"/>
  <c r="G28" i="1"/>
  <c r="G27" i="1"/>
  <c r="G24" i="1"/>
  <c r="G23" i="1"/>
  <c r="G20" i="1"/>
  <c r="G19" i="1"/>
  <c r="G16" i="1"/>
  <c r="G15" i="1"/>
  <c r="E8" i="2"/>
  <c r="E7" i="2"/>
  <c r="E6" i="2"/>
  <c r="E169" i="2"/>
  <c r="E168" i="2"/>
  <c r="E167" i="2"/>
  <c r="G166" i="2"/>
  <c r="G165" i="2"/>
  <c r="G164" i="2"/>
  <c r="E162" i="2"/>
  <c r="E161" i="2"/>
  <c r="E160" i="2"/>
  <c r="G159" i="2"/>
  <c r="G158" i="2"/>
  <c r="G157" i="2"/>
  <c r="E155" i="2"/>
  <c r="E154" i="2"/>
  <c r="E153" i="2"/>
  <c r="G152" i="2"/>
  <c r="G151" i="2"/>
  <c r="G150" i="2"/>
  <c r="E148" i="2"/>
  <c r="E147" i="2"/>
  <c r="E146" i="2"/>
  <c r="G145" i="2"/>
  <c r="G144" i="2"/>
  <c r="G143" i="2"/>
  <c r="E141" i="2"/>
  <c r="E140" i="2"/>
  <c r="E139" i="2"/>
  <c r="G138" i="2"/>
  <c r="G137" i="2"/>
  <c r="G136" i="2"/>
  <c r="E134" i="2"/>
  <c r="E133" i="2"/>
  <c r="E132" i="2"/>
  <c r="G131" i="2"/>
  <c r="G130" i="2"/>
  <c r="G129" i="2"/>
  <c r="E127" i="2"/>
  <c r="E126" i="2"/>
  <c r="E125" i="2"/>
  <c r="G124" i="2"/>
  <c r="G123" i="2"/>
  <c r="G122" i="2"/>
  <c r="E120" i="2"/>
  <c r="E119" i="2"/>
  <c r="E118" i="2"/>
  <c r="G117" i="2"/>
  <c r="G116" i="2"/>
  <c r="G115" i="2"/>
  <c r="E113" i="2"/>
  <c r="E112" i="2"/>
  <c r="E111" i="2"/>
  <c r="G110" i="2"/>
  <c r="G109" i="2"/>
  <c r="G108" i="2"/>
  <c r="E106" i="2"/>
  <c r="E105" i="2"/>
  <c r="E104" i="2"/>
  <c r="G103" i="2"/>
  <c r="G102" i="2"/>
  <c r="G101" i="2"/>
  <c r="E99" i="2"/>
  <c r="E98" i="2"/>
  <c r="E97" i="2"/>
  <c r="G96" i="2"/>
  <c r="G95" i="2"/>
  <c r="G94" i="2"/>
  <c r="E92" i="2"/>
  <c r="E91" i="2"/>
  <c r="E90" i="2"/>
  <c r="G89" i="2"/>
  <c r="G88" i="2"/>
  <c r="G87" i="2"/>
  <c r="E85" i="2"/>
  <c r="E84" i="2"/>
  <c r="E83" i="2"/>
  <c r="G82" i="2"/>
  <c r="G81" i="2"/>
  <c r="G80" i="2"/>
  <c r="E78" i="2"/>
  <c r="E77" i="2"/>
  <c r="E76" i="2"/>
  <c r="G75" i="2"/>
  <c r="G74" i="2"/>
  <c r="G73" i="2"/>
  <c r="E71" i="2"/>
  <c r="E70" i="2"/>
  <c r="E69" i="2"/>
  <c r="G68" i="2"/>
  <c r="G67" i="2"/>
  <c r="G66" i="2"/>
  <c r="E64" i="2"/>
  <c r="E63" i="2"/>
  <c r="E62" i="2"/>
  <c r="G61" i="2"/>
  <c r="G60" i="2"/>
  <c r="G59" i="2"/>
  <c r="E57" i="2"/>
  <c r="E56" i="2"/>
  <c r="E55" i="2"/>
  <c r="G54" i="2"/>
  <c r="G53" i="2"/>
  <c r="G52" i="2"/>
  <c r="E50" i="2"/>
  <c r="E49" i="2"/>
  <c r="E48" i="2"/>
  <c r="G47" i="2"/>
  <c r="G46" i="2"/>
  <c r="G45" i="2"/>
  <c r="E43" i="2"/>
  <c r="E42" i="2"/>
  <c r="E41" i="2"/>
  <c r="G40" i="2"/>
  <c r="G39" i="2"/>
  <c r="G38" i="2"/>
  <c r="E36" i="2"/>
  <c r="E35" i="2"/>
  <c r="E34" i="2"/>
  <c r="G33" i="2"/>
  <c r="G32" i="2"/>
  <c r="G31" i="2"/>
  <c r="G12" i="1"/>
  <c r="G11" i="1"/>
  <c r="G7" i="1"/>
  <c r="G4" i="1"/>
  <c r="G3" i="1"/>
  <c r="G26" i="2"/>
  <c r="G25" i="2"/>
  <c r="G24" i="2"/>
  <c r="E29" i="2"/>
  <c r="E28" i="2"/>
  <c r="E27" i="2"/>
  <c r="G18" i="2"/>
  <c r="G19" i="2"/>
  <c r="G17" i="2"/>
  <c r="E20" i="2"/>
  <c r="E21" i="2"/>
  <c r="E22" i="2"/>
  <c r="G11" i="2"/>
  <c r="G12" i="2"/>
  <c r="G10" i="2"/>
  <c r="E15" i="2"/>
  <c r="E14" i="2"/>
  <c r="E13" i="2"/>
  <c r="U67" i="2" l="1"/>
  <c r="T96" i="1"/>
  <c r="U96" i="1" s="1"/>
  <c r="T95" i="1"/>
  <c r="U95" i="1" s="1"/>
  <c r="T92" i="1"/>
  <c r="U92" i="1" s="1"/>
  <c r="T76" i="1"/>
  <c r="U76" i="1" s="1"/>
  <c r="T71" i="1"/>
  <c r="U71" i="1" s="1"/>
  <c r="T64" i="1"/>
  <c r="U64" i="1" s="1"/>
  <c r="T59" i="1"/>
  <c r="U59" i="1" s="1"/>
  <c r="T48" i="1"/>
  <c r="U48" i="1" s="1"/>
  <c r="T44" i="1"/>
  <c r="U44" i="1" s="1"/>
  <c r="U32" i="1"/>
  <c r="T28" i="1"/>
  <c r="U28" i="1" s="1"/>
  <c r="T20" i="1"/>
  <c r="U20" i="1" s="1"/>
  <c r="T79" i="1"/>
  <c r="U79" i="1" s="1"/>
  <c r="T63" i="1"/>
  <c r="U63" i="1" s="1"/>
  <c r="T60" i="1"/>
  <c r="U60" i="1" s="1"/>
  <c r="T55" i="1"/>
  <c r="U55" i="1" s="1"/>
  <c r="T36" i="1"/>
  <c r="U36" i="1" s="1"/>
  <c r="T27" i="1"/>
  <c r="U27" i="1" s="1"/>
  <c r="T7" i="1"/>
  <c r="U7" i="1" s="1"/>
  <c r="T88" i="1"/>
  <c r="U88" i="1" s="1"/>
  <c r="T72" i="1"/>
  <c r="U72" i="1" s="1"/>
  <c r="T47" i="1"/>
  <c r="U47" i="1" s="1"/>
  <c r="T24" i="1"/>
  <c r="U24" i="1" s="1"/>
  <c r="T15" i="1"/>
  <c r="U15" i="1" s="1"/>
  <c r="T8" i="1"/>
  <c r="U8" i="1" s="1"/>
  <c r="T3" i="1"/>
  <c r="U3" i="1" s="1"/>
  <c r="T91" i="1"/>
  <c r="U91" i="1" s="1"/>
  <c r="T83" i="1"/>
  <c r="U83" i="1" s="1"/>
  <c r="T80" i="1"/>
  <c r="U80" i="1" s="1"/>
  <c r="T75" i="1"/>
  <c r="U75" i="1" s="1"/>
  <c r="T52" i="1"/>
  <c r="U52" i="1" s="1"/>
  <c r="T43" i="1"/>
  <c r="U43" i="1" s="1"/>
  <c r="T40" i="1"/>
  <c r="U40" i="1" s="1"/>
  <c r="T35" i="1"/>
  <c r="U35" i="1" s="1"/>
  <c r="T31" i="1"/>
  <c r="U31" i="1" s="1"/>
  <c r="T11" i="1"/>
  <c r="U11" i="1" s="1"/>
  <c r="T87" i="1"/>
  <c r="U87" i="1" s="1"/>
  <c r="T84" i="1"/>
  <c r="U84" i="1" s="1"/>
  <c r="T68" i="1"/>
  <c r="U68" i="1" s="1"/>
  <c r="T67" i="1"/>
  <c r="U67" i="1" s="1"/>
  <c r="T56" i="1"/>
  <c r="U56" i="1" s="1"/>
  <c r="T51" i="1"/>
  <c r="U51" i="1" s="1"/>
  <c r="T39" i="1"/>
  <c r="U39" i="1" s="1"/>
  <c r="T23" i="1"/>
  <c r="U23" i="1" s="1"/>
  <c r="T19" i="1"/>
  <c r="U19" i="1" s="1"/>
  <c r="T16" i="1"/>
  <c r="U16" i="1" s="1"/>
  <c r="T12" i="1"/>
  <c r="U12" i="1" s="1"/>
  <c r="T4" i="1"/>
  <c r="U4" i="1" s="1"/>
  <c r="U169" i="2"/>
  <c r="V169" i="2" s="1"/>
  <c r="U168" i="2"/>
  <c r="V168" i="2" s="1"/>
  <c r="U167" i="2"/>
  <c r="V167" i="2" s="1"/>
  <c r="U164" i="2"/>
  <c r="V164" i="2" s="1"/>
  <c r="U166" i="2"/>
  <c r="V166" i="2" s="1"/>
  <c r="U165" i="2"/>
  <c r="V165" i="2" s="1"/>
  <c r="U158" i="2"/>
  <c r="V158" i="2" s="1"/>
  <c r="U157" i="2"/>
  <c r="V157" i="2" s="1"/>
  <c r="U159" i="2"/>
  <c r="V159" i="2" s="1"/>
  <c r="U162" i="2"/>
  <c r="V162" i="2" s="1"/>
  <c r="U161" i="2"/>
  <c r="V161" i="2" s="1"/>
  <c r="U160" i="2"/>
  <c r="V160" i="2" s="1"/>
  <c r="U150" i="2"/>
  <c r="V150" i="2" s="1"/>
  <c r="U155" i="2"/>
  <c r="V155" i="2" s="1"/>
  <c r="U154" i="2"/>
  <c r="V154" i="2" s="1"/>
  <c r="U153" i="2"/>
  <c r="V153" i="2" s="1"/>
  <c r="U152" i="2"/>
  <c r="V152" i="2" s="1"/>
  <c r="V151" i="2"/>
  <c r="U148" i="2"/>
  <c r="V148" i="2" s="1"/>
  <c r="U147" i="2"/>
  <c r="V147" i="2" s="1"/>
  <c r="U146" i="2"/>
  <c r="V146" i="2" s="1"/>
  <c r="U145" i="2"/>
  <c r="V145" i="2" s="1"/>
  <c r="U144" i="2"/>
  <c r="V144" i="2" s="1"/>
  <c r="U143" i="2"/>
  <c r="V143" i="2" s="1"/>
  <c r="T141" i="2"/>
  <c r="U141" i="2" s="1"/>
  <c r="V141" i="2" s="1"/>
  <c r="T140" i="2"/>
  <c r="U140" i="2" s="1"/>
  <c r="V140" i="2" s="1"/>
  <c r="T139" i="2"/>
  <c r="U139" i="2" s="1"/>
  <c r="V139" i="2" s="1"/>
  <c r="U138" i="2"/>
  <c r="V138" i="2" s="1"/>
  <c r="U137" i="2"/>
  <c r="V137" i="2" s="1"/>
  <c r="U136" i="2"/>
  <c r="V136" i="2" s="1"/>
  <c r="T134" i="2"/>
  <c r="U134" i="2" s="1"/>
  <c r="V134" i="2" s="1"/>
  <c r="T133" i="2"/>
  <c r="U133" i="2" s="1"/>
  <c r="V133" i="2" s="1"/>
  <c r="T132" i="2"/>
  <c r="U132" i="2" s="1"/>
  <c r="V132" i="2" s="1"/>
  <c r="U131" i="2"/>
  <c r="V131" i="2" s="1"/>
  <c r="U130" i="2"/>
  <c r="V130" i="2" s="1"/>
  <c r="U129" i="2"/>
  <c r="V129" i="2" s="1"/>
  <c r="T127" i="2"/>
  <c r="U127" i="2" s="1"/>
  <c r="V127" i="2" s="1"/>
  <c r="T126" i="2"/>
  <c r="U126" i="2" s="1"/>
  <c r="V126" i="2" s="1"/>
  <c r="T125" i="2"/>
  <c r="U125" i="2" s="1"/>
  <c r="V125" i="2" s="1"/>
  <c r="U124" i="2"/>
  <c r="V124" i="2" s="1"/>
  <c r="U123" i="2"/>
  <c r="V123" i="2" s="1"/>
  <c r="U122" i="2"/>
  <c r="V122" i="2" s="1"/>
  <c r="T120" i="2"/>
  <c r="U120" i="2" s="1"/>
  <c r="V120" i="2" s="1"/>
  <c r="U75" i="2"/>
  <c r="V75" i="2" s="1"/>
  <c r="U66" i="2"/>
  <c r="V66" i="2" s="1"/>
  <c r="T64" i="2"/>
  <c r="U64" i="2" s="1"/>
  <c r="V64" i="2" s="1"/>
  <c r="T63" i="2"/>
  <c r="U63" i="2" s="1"/>
  <c r="V63" i="2" s="1"/>
  <c r="T62" i="2"/>
  <c r="U62" i="2" s="1"/>
  <c r="V62" i="2" s="1"/>
  <c r="U61" i="2"/>
  <c r="V61" i="2" s="1"/>
  <c r="U60" i="2"/>
  <c r="V60" i="2" s="1"/>
  <c r="U59" i="2"/>
  <c r="V59" i="2" s="1"/>
  <c r="T57" i="2"/>
  <c r="U57" i="2" s="1"/>
  <c r="V57" i="2" s="1"/>
  <c r="T56" i="2"/>
  <c r="U56" i="2" s="1"/>
  <c r="V56" i="2" s="1"/>
  <c r="T55" i="2"/>
  <c r="U55" i="2" s="1"/>
  <c r="V55" i="2" s="1"/>
  <c r="U54" i="2"/>
  <c r="V54" i="2" s="1"/>
  <c r="U53" i="2"/>
  <c r="V53" i="2" s="1"/>
  <c r="U52" i="2"/>
  <c r="V52" i="2" s="1"/>
  <c r="T50" i="2"/>
  <c r="U50" i="2" s="1"/>
  <c r="V50" i="2" s="1"/>
  <c r="T49" i="2"/>
  <c r="U49" i="2" s="1"/>
  <c r="V49" i="2" s="1"/>
  <c r="T48" i="2"/>
  <c r="U48" i="2" s="1"/>
  <c r="V48" i="2" s="1"/>
  <c r="U47" i="2"/>
  <c r="V47" i="2" s="1"/>
  <c r="U46" i="2"/>
  <c r="V46" i="2" s="1"/>
  <c r="U45" i="2"/>
  <c r="V45" i="2" s="1"/>
  <c r="T43" i="2"/>
  <c r="U43" i="2" s="1"/>
  <c r="V43" i="2" s="1"/>
  <c r="T42" i="2"/>
  <c r="U42" i="2" s="1"/>
  <c r="V42" i="2" s="1"/>
  <c r="T6" i="2"/>
  <c r="U6" i="2" s="1"/>
  <c r="U116" i="2"/>
  <c r="V116" i="2" s="1"/>
  <c r="U95" i="2"/>
  <c r="V95" i="2" s="1"/>
  <c r="U87" i="2"/>
  <c r="V87" i="2" s="1"/>
  <c r="T84" i="2"/>
  <c r="U84" i="2" s="1"/>
  <c r="V84" i="2" s="1"/>
  <c r="T41" i="2"/>
  <c r="U41" i="2" s="1"/>
  <c r="V41" i="2" s="1"/>
  <c r="U40" i="2"/>
  <c r="V40" i="2" s="1"/>
  <c r="U39" i="2"/>
  <c r="V39" i="2" s="1"/>
  <c r="U38" i="2"/>
  <c r="V38" i="2" s="1"/>
  <c r="T36" i="2"/>
  <c r="U36" i="2" s="1"/>
  <c r="V36" i="2" s="1"/>
  <c r="T35" i="2"/>
  <c r="U35" i="2" s="1"/>
  <c r="V35" i="2" s="1"/>
  <c r="T34" i="2"/>
  <c r="U34" i="2" s="1"/>
  <c r="V34" i="2" s="1"/>
  <c r="U33" i="2"/>
  <c r="V33" i="2" s="1"/>
  <c r="U32" i="2"/>
  <c r="V32" i="2" s="1"/>
  <c r="U31" i="2"/>
  <c r="V31" i="2" s="1"/>
  <c r="T29" i="2"/>
  <c r="U29" i="2" s="1"/>
  <c r="V29" i="2" s="1"/>
  <c r="T28" i="2"/>
  <c r="U28" i="2" s="1"/>
  <c r="V28" i="2" s="1"/>
  <c r="T27" i="2"/>
  <c r="U27" i="2" s="1"/>
  <c r="V27" i="2" s="1"/>
  <c r="U26" i="2"/>
  <c r="V26" i="2" s="1"/>
  <c r="U25" i="2"/>
  <c r="V25" i="2" s="1"/>
  <c r="U24" i="2"/>
  <c r="V24" i="2" s="1"/>
  <c r="T22" i="2"/>
  <c r="U22" i="2" s="1"/>
  <c r="V22" i="2" s="1"/>
  <c r="T21" i="2"/>
  <c r="U21" i="2" s="1"/>
  <c r="V21" i="2" s="1"/>
  <c r="T20" i="2"/>
  <c r="U20" i="2" s="1"/>
  <c r="V20" i="2" s="1"/>
  <c r="U19" i="2"/>
  <c r="V19" i="2" s="1"/>
  <c r="U18" i="2"/>
  <c r="V18" i="2" s="1"/>
  <c r="U17" i="2"/>
  <c r="V17" i="2" s="1"/>
  <c r="T8" i="2"/>
  <c r="U8" i="2" s="1"/>
  <c r="V8" i="2" s="1"/>
  <c r="V6" i="2"/>
  <c r="U3" i="2"/>
  <c r="V3" i="2" s="1"/>
  <c r="T118" i="2"/>
  <c r="U118" i="2" s="1"/>
  <c r="V118" i="2" s="1"/>
  <c r="T113" i="2"/>
  <c r="U113" i="2" s="1"/>
  <c r="V113" i="2" s="1"/>
  <c r="T112" i="2"/>
  <c r="U112" i="2" s="1"/>
  <c r="V112" i="2" s="1"/>
  <c r="U108" i="2"/>
  <c r="V108" i="2" s="1"/>
  <c r="T106" i="2"/>
  <c r="U106" i="2" s="1"/>
  <c r="V106" i="2" s="1"/>
  <c r="T104" i="2"/>
  <c r="U104" i="2" s="1"/>
  <c r="V104" i="2" s="1"/>
  <c r="T97" i="2"/>
  <c r="U97" i="2" s="1"/>
  <c r="V97" i="2" s="1"/>
  <c r="U94" i="2"/>
  <c r="V94" i="2" s="1"/>
  <c r="T92" i="2"/>
  <c r="U92" i="2" s="1"/>
  <c r="V92" i="2" s="1"/>
  <c r="U88" i="2"/>
  <c r="V88" i="2" s="1"/>
  <c r="T83" i="2"/>
  <c r="U83" i="2" s="1"/>
  <c r="V83" i="2" s="1"/>
  <c r="V67" i="2"/>
  <c r="T15" i="2"/>
  <c r="U15" i="2" s="1"/>
  <c r="V15" i="2" s="1"/>
  <c r="T14" i="2"/>
  <c r="U14" i="2" s="1"/>
  <c r="V14" i="2" s="1"/>
  <c r="T13" i="2"/>
  <c r="U13" i="2" s="1"/>
  <c r="V13" i="2" s="1"/>
  <c r="U12" i="2"/>
  <c r="V12" i="2" s="1"/>
  <c r="U11" i="2"/>
  <c r="V11" i="2" s="1"/>
  <c r="U10" i="2"/>
  <c r="V10" i="2" s="1"/>
  <c r="T7" i="2"/>
  <c r="U7" i="2" s="1"/>
  <c r="V7" i="2" s="1"/>
  <c r="U5" i="2"/>
  <c r="V5" i="2" s="1"/>
  <c r="U4" i="2"/>
  <c r="V4" i="2" s="1"/>
  <c r="U117" i="2"/>
  <c r="V117" i="2" s="1"/>
  <c r="U115" i="2"/>
  <c r="V115" i="2" s="1"/>
  <c r="T111" i="2"/>
  <c r="U111" i="2" s="1"/>
  <c r="V111" i="2" s="1"/>
  <c r="U110" i="2"/>
  <c r="V110" i="2" s="1"/>
  <c r="T105" i="2"/>
  <c r="U105" i="2" s="1"/>
  <c r="V105" i="2" s="1"/>
  <c r="U103" i="2"/>
  <c r="V103" i="2" s="1"/>
  <c r="T98" i="2"/>
  <c r="U98" i="2" s="1"/>
  <c r="V98" i="2" s="1"/>
  <c r="U96" i="2"/>
  <c r="V96" i="2" s="1"/>
  <c r="T91" i="2"/>
  <c r="U91" i="2" s="1"/>
  <c r="V91" i="2" s="1"/>
  <c r="T90" i="2"/>
  <c r="U90" i="2" s="1"/>
  <c r="V90" i="2" s="1"/>
  <c r="T85" i="2"/>
  <c r="U85" i="2" s="1"/>
  <c r="V85" i="2" s="1"/>
  <c r="U82" i="2"/>
  <c r="V82" i="2" s="1"/>
  <c r="T78" i="2"/>
  <c r="U78" i="2" s="1"/>
  <c r="V78" i="2" s="1"/>
  <c r="T77" i="2"/>
  <c r="U77" i="2" s="1"/>
  <c r="V77" i="2" s="1"/>
  <c r="U74" i="2"/>
  <c r="V74" i="2" s="1"/>
  <c r="U73" i="2"/>
  <c r="V73" i="2" s="1"/>
  <c r="T71" i="2"/>
  <c r="U71" i="2" s="1"/>
  <c r="V71" i="2" s="1"/>
  <c r="T70" i="2"/>
  <c r="U70" i="2" s="1"/>
  <c r="V70" i="2" s="1"/>
  <c r="T69" i="2"/>
  <c r="U69" i="2" s="1"/>
  <c r="V69" i="2" s="1"/>
  <c r="U109" i="2"/>
  <c r="V109" i="2" s="1"/>
  <c r="U102" i="2"/>
  <c r="V102" i="2" s="1"/>
  <c r="U101" i="2"/>
  <c r="V101" i="2" s="1"/>
  <c r="T99" i="2"/>
  <c r="U99" i="2" s="1"/>
  <c r="V99" i="2" s="1"/>
  <c r="U89" i="2"/>
  <c r="V89" i="2" s="1"/>
  <c r="U81" i="2"/>
  <c r="V81" i="2" s="1"/>
  <c r="U80" i="2"/>
  <c r="V80" i="2" s="1"/>
  <c r="T76" i="2"/>
  <c r="U76" i="2" s="1"/>
  <c r="V76" i="2" s="1"/>
  <c r="U68" i="2"/>
  <c r="V68" i="2" s="1"/>
  <c r="T119" i="2"/>
  <c r="U119" i="2" s="1"/>
  <c r="V119" i="2" s="1"/>
  <c r="H109" i="2"/>
  <c r="H38" i="2"/>
  <c r="H92" i="1"/>
  <c r="I92" i="1" s="1"/>
  <c r="H91" i="1"/>
  <c r="I91" i="1" s="1"/>
  <c r="H88" i="1"/>
  <c r="I88" i="1" s="1"/>
  <c r="H87" i="1"/>
  <c r="I87" i="1" s="1"/>
  <c r="H83" i="1"/>
  <c r="I83" i="1" s="1"/>
  <c r="H84" i="1"/>
  <c r="I84" i="1" s="1"/>
  <c r="H80" i="1"/>
  <c r="I80" i="1" s="1"/>
  <c r="H79" i="1"/>
  <c r="I79" i="1" s="1"/>
  <c r="H76" i="1"/>
  <c r="I76" i="1" s="1"/>
  <c r="H75" i="1"/>
  <c r="I75" i="1" s="1"/>
  <c r="H71" i="1"/>
  <c r="I71" i="1" s="1"/>
  <c r="H72" i="1"/>
  <c r="I72" i="1" s="1"/>
  <c r="H68" i="1"/>
  <c r="I68" i="1" s="1"/>
  <c r="H67" i="1"/>
  <c r="I67" i="1" s="1"/>
  <c r="H64" i="1"/>
  <c r="I64" i="1" s="1"/>
  <c r="H63" i="1"/>
  <c r="I63" i="1" s="1"/>
  <c r="H60" i="1"/>
  <c r="I60" i="1" s="1"/>
  <c r="H59" i="1"/>
  <c r="I59" i="1" s="1"/>
  <c r="H56" i="1"/>
  <c r="I56" i="1" s="1"/>
  <c r="H55" i="1"/>
  <c r="I55" i="1" s="1"/>
  <c r="H52" i="1"/>
  <c r="I52" i="1" s="1"/>
  <c r="H51" i="1"/>
  <c r="I51" i="1" s="1"/>
  <c r="H48" i="1"/>
  <c r="I48" i="1" s="1"/>
  <c r="H47" i="1"/>
  <c r="I47" i="1" s="1"/>
  <c r="H43" i="1"/>
  <c r="I43" i="1" s="1"/>
  <c r="H44" i="1"/>
  <c r="I44" i="1" s="1"/>
  <c r="H40" i="1"/>
  <c r="I40" i="1" s="1"/>
  <c r="H39" i="1"/>
  <c r="I39" i="1" s="1"/>
  <c r="H36" i="1"/>
  <c r="I36" i="1" s="1"/>
  <c r="H35" i="1"/>
  <c r="I35" i="1" s="1"/>
  <c r="H31" i="1"/>
  <c r="I31" i="1" s="1"/>
  <c r="H32" i="1"/>
  <c r="I32" i="1" s="1"/>
  <c r="H28" i="1"/>
  <c r="I28" i="1" s="1"/>
  <c r="H27" i="1"/>
  <c r="I27" i="1" s="1"/>
  <c r="H24" i="1"/>
  <c r="I24" i="1" s="1"/>
  <c r="H23" i="1"/>
  <c r="I23" i="1" s="1"/>
  <c r="H20" i="1"/>
  <c r="I20" i="1" s="1"/>
  <c r="H19" i="1"/>
  <c r="I19" i="1" s="1"/>
  <c r="H15" i="1"/>
  <c r="I15" i="1" s="1"/>
  <c r="H16" i="1"/>
  <c r="I16" i="1" s="1"/>
  <c r="H19" i="2"/>
  <c r="G22" i="2"/>
  <c r="H22" i="2" s="1"/>
  <c r="H116" i="2"/>
  <c r="H18" i="2"/>
  <c r="G21" i="2"/>
  <c r="H21" i="2" s="1"/>
  <c r="H52" i="2"/>
  <c r="H11" i="2"/>
  <c r="H10" i="2"/>
  <c r="G29" i="2"/>
  <c r="G28" i="2"/>
  <c r="G27" i="2"/>
  <c r="H17" i="2"/>
  <c r="H12" i="2"/>
  <c r="G20" i="2"/>
  <c r="H20" i="2" s="1"/>
  <c r="G169" i="2"/>
  <c r="H169" i="2" s="1"/>
  <c r="I169" i="2" s="1"/>
  <c r="G168" i="2"/>
  <c r="H168" i="2" s="1"/>
  <c r="I168" i="2" s="1"/>
  <c r="G167" i="2"/>
  <c r="H167" i="2" s="1"/>
  <c r="I167" i="2" s="1"/>
  <c r="H166" i="2"/>
  <c r="I166" i="2" s="1"/>
  <c r="H164" i="2"/>
  <c r="I164" i="2" s="1"/>
  <c r="H165" i="2"/>
  <c r="I165" i="2" s="1"/>
  <c r="G162" i="2"/>
  <c r="H162" i="2" s="1"/>
  <c r="I162" i="2" s="1"/>
  <c r="G161" i="2"/>
  <c r="H161" i="2" s="1"/>
  <c r="I161" i="2" s="1"/>
  <c r="H159" i="2"/>
  <c r="I159" i="2" s="1"/>
  <c r="H158" i="2"/>
  <c r="I158" i="2" s="1"/>
  <c r="G160" i="2"/>
  <c r="H160" i="2" s="1"/>
  <c r="I160" i="2" s="1"/>
  <c r="H157" i="2"/>
  <c r="I157" i="2" s="1"/>
  <c r="G155" i="2"/>
  <c r="H155" i="2" s="1"/>
  <c r="I155" i="2" s="1"/>
  <c r="G154" i="2"/>
  <c r="H154" i="2" s="1"/>
  <c r="I154" i="2" s="1"/>
  <c r="H152" i="2"/>
  <c r="I152" i="2" s="1"/>
  <c r="H151" i="2"/>
  <c r="I151" i="2" s="1"/>
  <c r="H150" i="2"/>
  <c r="I150" i="2" s="1"/>
  <c r="G153" i="2"/>
  <c r="H153" i="2" s="1"/>
  <c r="I153" i="2" s="1"/>
  <c r="G147" i="2"/>
  <c r="H147" i="2" s="1"/>
  <c r="I147" i="2" s="1"/>
  <c r="G146" i="2"/>
  <c r="H146" i="2" s="1"/>
  <c r="I146" i="2" s="1"/>
  <c r="H144" i="2"/>
  <c r="I144" i="2" s="1"/>
  <c r="H143" i="2"/>
  <c r="I143" i="2" s="1"/>
  <c r="H145" i="2"/>
  <c r="I145" i="2" s="1"/>
  <c r="G148" i="2"/>
  <c r="H148" i="2" s="1"/>
  <c r="I148" i="2" s="1"/>
  <c r="H136" i="2"/>
  <c r="I136" i="2" s="1"/>
  <c r="G141" i="2"/>
  <c r="H141" i="2" s="1"/>
  <c r="I141" i="2" s="1"/>
  <c r="G140" i="2"/>
  <c r="H140" i="2" s="1"/>
  <c r="I140" i="2" s="1"/>
  <c r="G139" i="2"/>
  <c r="H139" i="2" s="1"/>
  <c r="I139" i="2" s="1"/>
  <c r="H138" i="2"/>
  <c r="I138" i="2" s="1"/>
  <c r="H137" i="2"/>
  <c r="I137" i="2" s="1"/>
  <c r="G134" i="2"/>
  <c r="H134" i="2" s="1"/>
  <c r="I134" i="2" s="1"/>
  <c r="G133" i="2"/>
  <c r="H133" i="2" s="1"/>
  <c r="I133" i="2" s="1"/>
  <c r="H130" i="2"/>
  <c r="I130" i="2" s="1"/>
  <c r="H129" i="2"/>
  <c r="I129" i="2" s="1"/>
  <c r="G132" i="2"/>
  <c r="H132" i="2" s="1"/>
  <c r="I132" i="2" s="1"/>
  <c r="H131" i="2"/>
  <c r="I131" i="2" s="1"/>
  <c r="G127" i="2"/>
  <c r="H127" i="2" s="1"/>
  <c r="I127" i="2" s="1"/>
  <c r="H122" i="2"/>
  <c r="I122" i="2" s="1"/>
  <c r="H123" i="2"/>
  <c r="I123" i="2" s="1"/>
  <c r="G126" i="2"/>
  <c r="H126" i="2" s="1"/>
  <c r="I126" i="2" s="1"/>
  <c r="G125" i="2"/>
  <c r="H125" i="2" s="1"/>
  <c r="I125" i="2" s="1"/>
  <c r="H124" i="2"/>
  <c r="I124" i="2" s="1"/>
  <c r="G120" i="2"/>
  <c r="H120" i="2" s="1"/>
  <c r="I120" i="2" s="1"/>
  <c r="G119" i="2"/>
  <c r="H119" i="2" s="1"/>
  <c r="I119" i="2" s="1"/>
  <c r="G118" i="2"/>
  <c r="H118" i="2" s="1"/>
  <c r="I118" i="2" s="1"/>
  <c r="H117" i="2"/>
  <c r="I117" i="2" s="1"/>
  <c r="H115" i="2"/>
  <c r="I115" i="2" s="1"/>
  <c r="G113" i="2"/>
  <c r="H113" i="2" s="1"/>
  <c r="I113" i="2" s="1"/>
  <c r="G112" i="2"/>
  <c r="H112" i="2" s="1"/>
  <c r="I112" i="2" s="1"/>
  <c r="G111" i="2"/>
  <c r="H111" i="2" s="1"/>
  <c r="I111" i="2" s="1"/>
  <c r="H110" i="2"/>
  <c r="I110" i="2" s="1"/>
  <c r="H108" i="2"/>
  <c r="I108" i="2" s="1"/>
  <c r="G104" i="2"/>
  <c r="H104" i="2" s="1"/>
  <c r="I104" i="2" s="1"/>
  <c r="H103" i="2"/>
  <c r="I103" i="2" s="1"/>
  <c r="H102" i="2"/>
  <c r="I102" i="2" s="1"/>
  <c r="G106" i="2"/>
  <c r="H106" i="2" s="1"/>
  <c r="I106" i="2" s="1"/>
  <c r="G105" i="2"/>
  <c r="H105" i="2" s="1"/>
  <c r="I105" i="2" s="1"/>
  <c r="H101" i="2"/>
  <c r="I101" i="2" s="1"/>
  <c r="G99" i="2"/>
  <c r="H99" i="2" s="1"/>
  <c r="I99" i="2" s="1"/>
  <c r="G98" i="2"/>
  <c r="H98" i="2" s="1"/>
  <c r="I98" i="2" s="1"/>
  <c r="H95" i="2"/>
  <c r="I95" i="2" s="1"/>
  <c r="G97" i="2"/>
  <c r="H97" i="2" s="1"/>
  <c r="I97" i="2" s="1"/>
  <c r="H96" i="2"/>
  <c r="I96" i="2" s="1"/>
  <c r="H94" i="2"/>
  <c r="I94" i="2" s="1"/>
  <c r="G92" i="2"/>
  <c r="H92" i="2" s="1"/>
  <c r="I92" i="2" s="1"/>
  <c r="G91" i="2"/>
  <c r="H91" i="2" s="1"/>
  <c r="I91" i="2" s="1"/>
  <c r="H89" i="2"/>
  <c r="I89" i="2" s="1"/>
  <c r="H88" i="2"/>
  <c r="I88" i="2" s="1"/>
  <c r="H87" i="2"/>
  <c r="I87" i="2" s="1"/>
  <c r="G90" i="2"/>
  <c r="H90" i="2" s="1"/>
  <c r="I90" i="2" s="1"/>
  <c r="G84" i="2"/>
  <c r="H84" i="2" s="1"/>
  <c r="I84" i="2" s="1"/>
  <c r="G83" i="2"/>
  <c r="H83" i="2" s="1"/>
  <c r="I83" i="2" s="1"/>
  <c r="H82" i="2"/>
  <c r="I82" i="2" s="1"/>
  <c r="G85" i="2"/>
  <c r="H85" i="2" s="1"/>
  <c r="I85" i="2" s="1"/>
  <c r="H81" i="2"/>
  <c r="I81" i="2" s="1"/>
  <c r="H80" i="2"/>
  <c r="I80" i="2" s="1"/>
  <c r="H75" i="2"/>
  <c r="I75" i="2" s="1"/>
  <c r="H74" i="2"/>
  <c r="I74" i="2" s="1"/>
  <c r="H73" i="2"/>
  <c r="I73" i="2" s="1"/>
  <c r="G78" i="2"/>
  <c r="H78" i="2" s="1"/>
  <c r="I78" i="2" s="1"/>
  <c r="G76" i="2"/>
  <c r="H76" i="2" s="1"/>
  <c r="I76" i="2" s="1"/>
  <c r="G77" i="2"/>
  <c r="H77" i="2" s="1"/>
  <c r="I77" i="2" s="1"/>
  <c r="G71" i="2"/>
  <c r="H71" i="2" s="1"/>
  <c r="H67" i="2"/>
  <c r="I67" i="2" s="1"/>
  <c r="H66" i="2"/>
  <c r="I66" i="2" s="1"/>
  <c r="G70" i="2"/>
  <c r="H70" i="2" s="1"/>
  <c r="I70" i="2" s="1"/>
  <c r="G69" i="2"/>
  <c r="H69" i="2" s="1"/>
  <c r="I69" i="2" s="1"/>
  <c r="H68" i="2"/>
  <c r="I68" i="2" s="1"/>
  <c r="G64" i="2"/>
  <c r="H64" i="2" s="1"/>
  <c r="I64" i="2" s="1"/>
  <c r="G63" i="2"/>
  <c r="H63" i="2" s="1"/>
  <c r="I63" i="2" s="1"/>
  <c r="G62" i="2"/>
  <c r="H62" i="2" s="1"/>
  <c r="H61" i="2"/>
  <c r="I61" i="2" s="1"/>
  <c r="H60" i="2"/>
  <c r="I60" i="2" s="1"/>
  <c r="H59" i="2"/>
  <c r="I59" i="2" s="1"/>
  <c r="G55" i="2"/>
  <c r="H55" i="2" s="1"/>
  <c r="H54" i="2"/>
  <c r="I54" i="2" s="1"/>
  <c r="H53" i="2"/>
  <c r="I53" i="2" s="1"/>
  <c r="G57" i="2"/>
  <c r="H57" i="2" s="1"/>
  <c r="I57" i="2" s="1"/>
  <c r="G56" i="2"/>
  <c r="H56" i="2" s="1"/>
  <c r="I56" i="2" s="1"/>
  <c r="G49" i="2"/>
  <c r="H49" i="2" s="1"/>
  <c r="G48" i="2"/>
  <c r="H48" i="2" s="1"/>
  <c r="I48" i="2" s="1"/>
  <c r="H46" i="2"/>
  <c r="I46" i="2" s="1"/>
  <c r="H45" i="2"/>
  <c r="I45" i="2" s="1"/>
  <c r="G50" i="2"/>
  <c r="H50" i="2" s="1"/>
  <c r="I50" i="2" s="1"/>
  <c r="H47" i="2"/>
  <c r="I47" i="2" s="1"/>
  <c r="G43" i="2"/>
  <c r="H43" i="2" s="1"/>
  <c r="I43" i="2" s="1"/>
  <c r="G42" i="2"/>
  <c r="H42" i="2" s="1"/>
  <c r="I42" i="2" s="1"/>
  <c r="G41" i="2"/>
  <c r="H41" i="2" s="1"/>
  <c r="I41" i="2" s="1"/>
  <c r="H40" i="2"/>
  <c r="I40" i="2" s="1"/>
  <c r="H39" i="2"/>
  <c r="I39" i="2" s="1"/>
  <c r="G35" i="2"/>
  <c r="G36" i="2"/>
  <c r="H36" i="2" s="1"/>
  <c r="G34" i="2"/>
  <c r="H34" i="2" s="1"/>
  <c r="H33" i="2"/>
  <c r="I33" i="2" s="1"/>
  <c r="H32" i="2"/>
  <c r="I32" i="2" s="1"/>
  <c r="H31" i="2"/>
  <c r="I31" i="2" s="1"/>
  <c r="H35" i="2"/>
  <c r="I35" i="2" s="1"/>
  <c r="H12" i="1"/>
  <c r="I12" i="1" s="1"/>
  <c r="H11" i="1"/>
  <c r="I11" i="1" s="1"/>
  <c r="H8" i="1"/>
  <c r="I8" i="1" s="1"/>
  <c r="H7" i="1"/>
  <c r="I7" i="1" s="1"/>
  <c r="H3" i="1"/>
  <c r="I3" i="1" s="1"/>
  <c r="H4" i="1"/>
  <c r="I4" i="1" s="1"/>
  <c r="H24" i="2"/>
  <c r="I24" i="2" s="1"/>
  <c r="H26" i="2"/>
  <c r="I26" i="2" s="1"/>
  <c r="H25" i="2"/>
  <c r="I25" i="2" s="1"/>
  <c r="G15" i="2"/>
  <c r="H15" i="2" s="1"/>
  <c r="G14" i="2"/>
  <c r="H14" i="2" s="1"/>
  <c r="I14" i="2" s="1"/>
  <c r="G13" i="2"/>
  <c r="H13" i="2" s="1"/>
  <c r="I13" i="2" s="1"/>
  <c r="I109" i="2" l="1"/>
  <c r="I71" i="2"/>
  <c r="I62" i="2"/>
  <c r="I49" i="2"/>
  <c r="I38" i="2"/>
  <c r="I10" i="2"/>
  <c r="I116" i="2"/>
  <c r="I12" i="2"/>
  <c r="I52" i="2"/>
  <c r="H28" i="2"/>
  <c r="I28" i="2" s="1"/>
  <c r="H29" i="2"/>
  <c r="I29" i="2" s="1"/>
  <c r="H27" i="2"/>
  <c r="I27" i="2" s="1"/>
  <c r="I18" i="2"/>
  <c r="I19" i="2"/>
  <c r="I20" i="2"/>
  <c r="I22" i="2"/>
  <c r="I21" i="2"/>
  <c r="I17" i="2"/>
  <c r="I11" i="2"/>
  <c r="I55" i="2"/>
  <c r="I36" i="2"/>
  <c r="I34" i="2"/>
  <c r="I15" i="2"/>
</calcChain>
</file>

<file path=xl/sharedStrings.xml><?xml version="1.0" encoding="utf-8"?>
<sst xmlns="http://schemas.openxmlformats.org/spreadsheetml/2006/main" count="696" uniqueCount="85">
  <si>
    <t>Home Team</t>
  </si>
  <si>
    <t>Away Team</t>
  </si>
  <si>
    <t>South Korea</t>
  </si>
  <si>
    <t>Czech Republic</t>
  </si>
  <si>
    <t>H</t>
  </si>
  <si>
    <t>D</t>
  </si>
  <si>
    <t>A</t>
  </si>
  <si>
    <t>H/D</t>
  </si>
  <si>
    <t>A/D</t>
  </si>
  <si>
    <t>Model</t>
  </si>
  <si>
    <t>Bet365</t>
  </si>
  <si>
    <t>H/A</t>
  </si>
  <si>
    <t>Bet Placed?</t>
  </si>
  <si>
    <t>Y: H</t>
  </si>
  <si>
    <t>1.880</t>
  </si>
  <si>
    <t>3.620</t>
  </si>
  <si>
    <t>4.650</t>
  </si>
  <si>
    <t>Amount:</t>
  </si>
  <si>
    <t>Y:H</t>
  </si>
  <si>
    <t>£0.33</t>
  </si>
  <si>
    <t>£</t>
  </si>
  <si>
    <t>Canada</t>
  </si>
  <si>
    <t>Bosnia and Herzegovina</t>
  </si>
  <si>
    <t>Expected Value</t>
  </si>
  <si>
    <t>Place Bet?</t>
  </si>
  <si>
    <t>Bet Value</t>
  </si>
  <si>
    <t>USA</t>
  </si>
  <si>
    <t>Paraguay</t>
  </si>
  <si>
    <t>U2.5</t>
  </si>
  <si>
    <t>O2.5</t>
  </si>
  <si>
    <t>Expected Total Goals</t>
  </si>
  <si>
    <t>Haiti</t>
  </si>
  <si>
    <t>Scotland</t>
  </si>
  <si>
    <t>Australia</t>
  </si>
  <si>
    <t>Turkey</t>
  </si>
  <si>
    <t>Brazil</t>
  </si>
  <si>
    <t>Morocco</t>
  </si>
  <si>
    <t>Qatar</t>
  </si>
  <si>
    <t>Switzerland</t>
  </si>
  <si>
    <t>Ivory Coast</t>
  </si>
  <si>
    <t>Ecuador</t>
  </si>
  <si>
    <t>Germany</t>
  </si>
  <si>
    <t>Curacao</t>
  </si>
  <si>
    <t>Netherlands</t>
  </si>
  <si>
    <t>Japan</t>
  </si>
  <si>
    <t xml:space="preserve">Sweden </t>
  </si>
  <si>
    <t>Tunisia</t>
  </si>
  <si>
    <t>Saudi Arabia</t>
  </si>
  <si>
    <t>Uruguay</t>
  </si>
  <si>
    <t>Spain</t>
  </si>
  <si>
    <t>Cape Verde</t>
  </si>
  <si>
    <t>Iran</t>
  </si>
  <si>
    <t>New Zealand</t>
  </si>
  <si>
    <t>Belgium</t>
  </si>
  <si>
    <t>Egypt</t>
  </si>
  <si>
    <t>France</t>
  </si>
  <si>
    <t>Senegal</t>
  </si>
  <si>
    <t>Iraq</t>
  </si>
  <si>
    <t>Norway</t>
  </si>
  <si>
    <t>Argentina</t>
  </si>
  <si>
    <t>Algeria</t>
  </si>
  <si>
    <t>Austria</t>
  </si>
  <si>
    <t>Jordan</t>
  </si>
  <si>
    <t>Ghana</t>
  </si>
  <si>
    <t>Panama</t>
  </si>
  <si>
    <t>England</t>
  </si>
  <si>
    <t>Croatia</t>
  </si>
  <si>
    <t>Portugal</t>
  </si>
  <si>
    <t>Congo DR</t>
  </si>
  <si>
    <t>Uzbekistan</t>
  </si>
  <si>
    <t>Colombia</t>
  </si>
  <si>
    <t>South Africa</t>
  </si>
  <si>
    <t>Mexico</t>
  </si>
  <si>
    <t>Round 1</t>
  </si>
  <si>
    <t>Round 2</t>
  </si>
  <si>
    <t>Braxil</t>
  </si>
  <si>
    <t>Curucao</t>
  </si>
  <si>
    <t>Sweden</t>
  </si>
  <si>
    <t>Value Placed</t>
  </si>
  <si>
    <t>Y</t>
  </si>
  <si>
    <t>N</t>
  </si>
  <si>
    <t>£0.11</t>
  </si>
  <si>
    <t>0</t>
  </si>
  <si>
    <t>£0.32</t>
  </si>
  <si>
    <t>£0.53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</si>
</sst>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£&quot;#,##0.00;[Red]\-&quot;£&quot;#,##0.00"/>
    <numFmt numFmtId="164" formatCode="0.000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64" fontId="0" fillId="0" borderId="0" xfId="0" applyNumberFormat="1"/>
    <xf numFmtId="2" fontId="0" fillId="0" borderId="0" xfId="0" applyNumberFormat="1"/>
    <xf numFmtId="12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F7B7E-2380-4100-8346-D3F94A2DF49C}">
  <dimension ref="B2:AB97"/>
  <sheetViews>
    <sheetView tabSelected="1" zoomScale="61" workbookViewId="0">
      <selection activeCell="J16" sqref="J16"/>
    </sheetView>
  </sheetViews>
  <sheetFormatPr defaultRowHeight="14.5" x14ac:dyDescent="0.35"/>
  <cols>
    <col min="2" max="2" width="12.7265625" customWidth="1"/>
    <col min="3" max="3" width="25.6328125" customWidth="1"/>
    <col min="4" max="4" width="19.26953125" customWidth="1"/>
    <col min="5" max="5" width="11.6328125" customWidth="1"/>
    <col min="6" max="6" width="11.81640625" customWidth="1"/>
    <col min="7" max="7" width="11" customWidth="1"/>
    <col min="8" max="8" width="11.453125" customWidth="1"/>
    <col min="10" max="10" width="10.36328125" customWidth="1"/>
    <col min="11" max="11" width="10.81640625" customWidth="1"/>
    <col min="14" max="14" width="16.36328125" customWidth="1"/>
    <col min="15" max="15" width="23.453125" customWidth="1"/>
    <col min="16" max="16" width="20.6328125" customWidth="1"/>
  </cols>
  <sheetData>
    <row r="2" spans="2:28" x14ac:dyDescent="0.35">
      <c r="B2" t="s">
        <v>0</v>
      </c>
      <c r="C2" t="s">
        <v>1</v>
      </c>
      <c r="E2" t="s">
        <v>9</v>
      </c>
      <c r="F2" t="s">
        <v>10</v>
      </c>
      <c r="G2" t="s">
        <v>23</v>
      </c>
      <c r="H2" t="s">
        <v>24</v>
      </c>
      <c r="I2" t="s">
        <v>25</v>
      </c>
      <c r="J2" t="s">
        <v>12</v>
      </c>
      <c r="K2" t="s">
        <v>78</v>
      </c>
      <c r="N2" t="s">
        <v>0</v>
      </c>
      <c r="O2" t="s">
        <v>1</v>
      </c>
    </row>
    <row r="3" spans="2:28" x14ac:dyDescent="0.35">
      <c r="B3" t="s">
        <v>2</v>
      </c>
      <c r="C3" t="s">
        <v>3</v>
      </c>
      <c r="D3" t="s">
        <v>28</v>
      </c>
      <c r="E3">
        <v>0.52211099999999999</v>
      </c>
      <c r="F3" s="4">
        <v>1.6153846153846154</v>
      </c>
      <c r="G3">
        <f>(E3*F3)-1</f>
        <v>-0.1565899230769231</v>
      </c>
      <c r="H3" t="str">
        <f>IF(G3&gt;0.05,"Y","N")</f>
        <v>N</v>
      </c>
      <c r="I3">
        <f>IF(H3="N",0,IFERROR(25*0.1*MAX(G3/(F3-1),0),0))</f>
        <v>0</v>
      </c>
      <c r="J3" t="s">
        <v>80</v>
      </c>
      <c r="K3">
        <v>0</v>
      </c>
      <c r="N3" t="s">
        <v>3</v>
      </c>
      <c r="O3" t="s">
        <v>71</v>
      </c>
      <c r="P3" t="s">
        <v>28</v>
      </c>
      <c r="R3" s="4">
        <v>1.6153846153846154</v>
      </c>
      <c r="S3">
        <f>(Q3*R3)-1</f>
        <v>-1</v>
      </c>
      <c r="T3" t="str">
        <f>IF(S3&gt;0.05,"Y","N")</f>
        <v>N</v>
      </c>
      <c r="U3">
        <f>IF(T3="N",0,IFERROR(25*0.1*MAX(S3/(R3-1),0),0))</f>
        <v>0</v>
      </c>
      <c r="AA3" t="s">
        <v>12</v>
      </c>
      <c r="AB3" t="s">
        <v>17</v>
      </c>
    </row>
    <row r="4" spans="2:28" x14ac:dyDescent="0.35">
      <c r="D4" t="s">
        <v>29</v>
      </c>
      <c r="E4">
        <v>0.47788900000000001</v>
      </c>
      <c r="F4" s="3">
        <v>2.2000000000000002</v>
      </c>
      <c r="G4">
        <f>(E4*F4)-1</f>
        <v>5.1355800000000063E-2</v>
      </c>
      <c r="H4" t="str">
        <f>IF(G4&gt;0.05,"Y","N")</f>
        <v>Y</v>
      </c>
      <c r="I4">
        <f>IF(H4="N",0,IFERROR(25*0.1*MAX(G4/(F4-1),0),0))</f>
        <v>0.10699125000000011</v>
      </c>
      <c r="J4" s="1" t="s">
        <v>79</v>
      </c>
      <c r="K4" s="1" t="s">
        <v>81</v>
      </c>
      <c r="L4" s="1"/>
      <c r="M4" s="1"/>
      <c r="P4" t="s">
        <v>29</v>
      </c>
      <c r="R4" s="3">
        <v>2.2999999999999998</v>
      </c>
      <c r="S4">
        <f>(Q4*R4)-1</f>
        <v>-1</v>
      </c>
      <c r="T4" t="str">
        <f>IF(S4&gt;0.05,"Y","N")</f>
        <v>N</v>
      </c>
      <c r="U4">
        <f>IF(T4="N",0,IFERROR(25*0.1*MAX(S4/(R4-1),0),0))</f>
        <v>0</v>
      </c>
      <c r="AA4" s="1" t="s">
        <v>13</v>
      </c>
      <c r="AB4" s="1" t="s">
        <v>19</v>
      </c>
    </row>
    <row r="5" spans="2:28" x14ac:dyDescent="0.35">
      <c r="D5" s="2" t="s">
        <v>30</v>
      </c>
      <c r="E5">
        <v>2.5853600000000001</v>
      </c>
      <c r="F5" s="3"/>
      <c r="J5" s="1"/>
      <c r="K5" s="1"/>
      <c r="L5" s="1"/>
      <c r="M5" s="1"/>
      <c r="P5" s="2" t="s">
        <v>30</v>
      </c>
      <c r="R5" s="3"/>
      <c r="AA5" s="1" t="s">
        <v>18</v>
      </c>
      <c r="AB5" s="1" t="s">
        <v>20</v>
      </c>
    </row>
    <row r="6" spans="2:28" x14ac:dyDescent="0.35">
      <c r="F6" s="4"/>
      <c r="J6" s="1"/>
      <c r="K6" s="1"/>
      <c r="L6" s="1"/>
      <c r="M6" s="1"/>
      <c r="R6" s="4"/>
    </row>
    <row r="7" spans="2:28" x14ac:dyDescent="0.35">
      <c r="B7" t="s">
        <v>21</v>
      </c>
      <c r="C7" t="s">
        <v>22</v>
      </c>
      <c r="D7" t="s">
        <v>28</v>
      </c>
      <c r="E7">
        <v>0.49166500000000002</v>
      </c>
      <c r="F7" s="4">
        <v>1.6153846153846154</v>
      </c>
      <c r="G7">
        <f>(E7*F7)-1</f>
        <v>-0.20577192307692305</v>
      </c>
      <c r="H7" t="str">
        <f>IF(G7&gt;0.05,"Y","N")</f>
        <v>N</v>
      </c>
      <c r="I7">
        <f>IF(H7="N",0,IFERROR(25*0.1*MAX(G7/(F7-1),0),0))</f>
        <v>0</v>
      </c>
      <c r="J7" s="1" t="s">
        <v>80</v>
      </c>
      <c r="K7" s="1" t="s">
        <v>82</v>
      </c>
      <c r="L7" s="1"/>
      <c r="M7" s="1"/>
      <c r="N7" t="s">
        <v>38</v>
      </c>
      <c r="O7" t="s">
        <v>22</v>
      </c>
      <c r="P7" t="s">
        <v>28</v>
      </c>
      <c r="R7" s="4">
        <v>1.6153846153846154</v>
      </c>
      <c r="S7">
        <f>(Q7*R7)-1</f>
        <v>-1</v>
      </c>
      <c r="T7" t="str">
        <f>IF(S7&gt;0.05,"Y","N")</f>
        <v>N</v>
      </c>
      <c r="U7">
        <f>IF(T7="N",0,IFERROR(25*0.1*MAX(S7/(R7-1),0),0))</f>
        <v>0</v>
      </c>
    </row>
    <row r="8" spans="2:28" x14ac:dyDescent="0.35">
      <c r="D8" t="s">
        <v>29</v>
      </c>
      <c r="E8">
        <v>0.50833499999999998</v>
      </c>
      <c r="F8" s="3">
        <v>2.2999999999999998</v>
      </c>
      <c r="G8">
        <f>(E8*F8)-1</f>
        <v>0.16917049999999989</v>
      </c>
      <c r="H8" t="str">
        <f>IF(G8&gt;0.05,"Y","N")</f>
        <v>Y</v>
      </c>
      <c r="I8">
        <f>IF(H8="N",0,IFERROR(25*0.1*MAX(G8/(F8-1),0),0))</f>
        <v>0.32532788461538448</v>
      </c>
      <c r="J8" s="1" t="s">
        <v>79</v>
      </c>
      <c r="K8" s="1" t="s">
        <v>19</v>
      </c>
      <c r="L8" s="1"/>
      <c r="M8" s="1"/>
      <c r="P8" t="s">
        <v>29</v>
      </c>
      <c r="R8" s="3">
        <v>2.2999999999999998</v>
      </c>
      <c r="S8">
        <f>(Q8*R8)-1</f>
        <v>-1</v>
      </c>
      <c r="T8" t="str">
        <f>IF(S8&gt;0.05,"Y","N")</f>
        <v>N</v>
      </c>
      <c r="U8">
        <f>IF(T8="N",0,IFERROR(25*0.1*MAX(S8/(R8-1),0),0))</f>
        <v>0</v>
      </c>
    </row>
    <row r="9" spans="2:28" x14ac:dyDescent="0.35">
      <c r="D9" s="2" t="s">
        <v>30</v>
      </c>
      <c r="E9">
        <v>2.5853600000000001</v>
      </c>
      <c r="F9" s="3"/>
      <c r="J9" s="1"/>
      <c r="K9" s="1"/>
      <c r="L9" s="1"/>
      <c r="M9" s="1"/>
      <c r="P9" s="2" t="s">
        <v>30</v>
      </c>
      <c r="R9" s="3"/>
    </row>
    <row r="10" spans="2:28" x14ac:dyDescent="0.35">
      <c r="E10" s="2"/>
      <c r="F10" s="1"/>
      <c r="J10" s="1"/>
      <c r="K10" s="1"/>
      <c r="L10" s="1"/>
      <c r="M10" s="1"/>
      <c r="R10" s="1"/>
    </row>
    <row r="11" spans="2:28" x14ac:dyDescent="0.35">
      <c r="B11" t="s">
        <v>26</v>
      </c>
      <c r="C11" t="s">
        <v>27</v>
      </c>
      <c r="D11" t="s">
        <v>28</v>
      </c>
      <c r="E11">
        <v>0.52211099999999999</v>
      </c>
      <c r="F11" s="4">
        <v>1.5333333333333334</v>
      </c>
      <c r="G11">
        <f>(E11*F11)-1</f>
        <v>-0.19942979999999999</v>
      </c>
      <c r="H11" t="str">
        <f>IF(G11&gt;0.05,"Y","N")</f>
        <v>N</v>
      </c>
      <c r="I11">
        <f>IF(H11="N",0,IFERROR(25*0.1*MAX(G11/(F11-1),0),0))</f>
        <v>0</v>
      </c>
      <c r="J11" s="1" t="s">
        <v>80</v>
      </c>
      <c r="K11" s="1" t="s">
        <v>82</v>
      </c>
      <c r="L11" s="1"/>
      <c r="M11" s="1"/>
      <c r="N11" t="s">
        <v>21</v>
      </c>
      <c r="O11" t="s">
        <v>37</v>
      </c>
      <c r="P11" t="s">
        <v>28</v>
      </c>
      <c r="R11" s="4">
        <v>1.6153846153846154</v>
      </c>
      <c r="S11">
        <f>(Q11*R11)-1</f>
        <v>-1</v>
      </c>
      <c r="T11" t="str">
        <f>IF(S11&gt;0.05,"Y","N")</f>
        <v>N</v>
      </c>
      <c r="U11">
        <f>IF(T11="N",0,IFERROR(25*0.1*MAX(S11/(R11-1),0),0))</f>
        <v>0</v>
      </c>
    </row>
    <row r="12" spans="2:28" x14ac:dyDescent="0.35">
      <c r="D12" t="s">
        <v>29</v>
      </c>
      <c r="E12">
        <v>0.47788900000000001</v>
      </c>
      <c r="F12" s="3">
        <v>2.5</v>
      </c>
      <c r="G12">
        <f>(E12*F12)-1</f>
        <v>0.19472250000000013</v>
      </c>
      <c r="H12" t="str">
        <f>IF(G12&gt;0.05,"Y","N")</f>
        <v>Y</v>
      </c>
      <c r="I12">
        <f>IF(H12="N",0,IFERROR(25*0.1*MAX(G12/(F12-1),0),0))</f>
        <v>0.32453750000000026</v>
      </c>
      <c r="J12" s="1" t="s">
        <v>79</v>
      </c>
      <c r="K12" s="1" t="s">
        <v>83</v>
      </c>
      <c r="L12" s="1"/>
      <c r="M12" s="1"/>
      <c r="P12" t="s">
        <v>29</v>
      </c>
      <c r="R12" s="3">
        <v>2.2999999999999998</v>
      </c>
      <c r="S12">
        <f>(Q12*R12)-1</f>
        <v>-1</v>
      </c>
      <c r="T12" t="str">
        <f>IF(S12&gt;0.05,"Y","N")</f>
        <v>N</v>
      </c>
      <c r="U12">
        <f>IF(T12="N",0,IFERROR(25*0.1*MAX(S12/(R12-1),0),0))</f>
        <v>0</v>
      </c>
    </row>
    <row r="13" spans="2:28" x14ac:dyDescent="0.35">
      <c r="D13" s="2" t="s">
        <v>30</v>
      </c>
      <c r="E13">
        <v>2.5853600000000001</v>
      </c>
      <c r="F13" s="3"/>
      <c r="J13" s="1"/>
      <c r="K13" s="1"/>
      <c r="L13" s="1"/>
      <c r="M13" s="1"/>
      <c r="P13" s="2" t="s">
        <v>30</v>
      </c>
      <c r="R13" s="3"/>
    </row>
    <row r="14" spans="2:28" x14ac:dyDescent="0.35">
      <c r="F14" s="4"/>
      <c r="J14" s="1"/>
      <c r="K14" s="1"/>
      <c r="L14" s="1"/>
      <c r="M14" s="1"/>
      <c r="R14" s="4"/>
    </row>
    <row r="15" spans="2:28" x14ac:dyDescent="0.35">
      <c r="B15" t="s">
        <v>31</v>
      </c>
      <c r="C15" t="s">
        <v>32</v>
      </c>
      <c r="D15" t="s">
        <v>28</v>
      </c>
      <c r="E15">
        <v>0.55118699999999998</v>
      </c>
      <c r="F15" s="4"/>
      <c r="G15">
        <f>(E15*F15)-1</f>
        <v>-1</v>
      </c>
      <c r="H15" t="str">
        <f>IF(G15&gt;0.05,"Y","N")</f>
        <v>N</v>
      </c>
      <c r="I15">
        <f>IF(H15="N",0,IFERROR(25*0.1*MAX(G15/(F15-1),0),0))</f>
        <v>0</v>
      </c>
      <c r="J15" s="1"/>
      <c r="K15" s="1"/>
      <c r="L15" s="1"/>
      <c r="M15" s="1"/>
      <c r="N15" t="s">
        <v>72</v>
      </c>
      <c r="O15" t="s">
        <v>2</v>
      </c>
      <c r="P15" t="s">
        <v>28</v>
      </c>
      <c r="R15" s="4"/>
      <c r="S15">
        <f>(Q15*R15)-1</f>
        <v>-1</v>
      </c>
      <c r="T15" t="str">
        <f>IF(S15&gt;0.05,"Y","N")</f>
        <v>N</v>
      </c>
      <c r="U15">
        <f>IF(T15="N",0,IFERROR(25*0.1*MAX(S15/(R15-1),0),0))</f>
        <v>0</v>
      </c>
    </row>
    <row r="16" spans="2:28" x14ac:dyDescent="0.35">
      <c r="D16" t="s">
        <v>29</v>
      </c>
      <c r="E16">
        <v>0.44881300000000002</v>
      </c>
      <c r="F16" s="3"/>
      <c r="G16">
        <f>(E16*F16)-1</f>
        <v>-1</v>
      </c>
      <c r="H16" t="str">
        <f>IF(G16&gt;0.05,"Y","N")</f>
        <v>N</v>
      </c>
      <c r="I16">
        <f>IF(H16="N",0,IFERROR(25*0.1*MAX(G16/(F16-1),0),0))</f>
        <v>0</v>
      </c>
      <c r="J16" s="1"/>
      <c r="K16" s="1"/>
      <c r="L16" s="1"/>
      <c r="M16" s="1"/>
      <c r="P16" t="s">
        <v>29</v>
      </c>
      <c r="R16" s="3"/>
      <c r="S16">
        <f>(Q16*R16)-1</f>
        <v>-1</v>
      </c>
      <c r="T16" t="str">
        <f>IF(S16&gt;0.05,"Y","N")</f>
        <v>N</v>
      </c>
      <c r="U16">
        <f>IF(T16="N",0,IFERROR(25*0.1*MAX(S16/(R16-1),0),0))</f>
        <v>0</v>
      </c>
    </row>
    <row r="17" spans="2:21" x14ac:dyDescent="0.35">
      <c r="D17" s="2" t="s">
        <v>30</v>
      </c>
      <c r="E17">
        <v>2.4713419999999999</v>
      </c>
      <c r="F17" s="3"/>
      <c r="J17" s="1"/>
      <c r="K17" s="1"/>
      <c r="L17" s="1"/>
      <c r="M17" s="1"/>
      <c r="P17" s="2" t="s">
        <v>30</v>
      </c>
      <c r="R17" s="3"/>
    </row>
    <row r="18" spans="2:21" x14ac:dyDescent="0.35">
      <c r="F18" s="3"/>
      <c r="J18" s="1"/>
      <c r="K18" s="1"/>
      <c r="L18" s="1"/>
      <c r="M18" s="1"/>
      <c r="R18" s="3"/>
    </row>
    <row r="19" spans="2:21" x14ac:dyDescent="0.35">
      <c r="B19" t="s">
        <v>33</v>
      </c>
      <c r="C19" t="s">
        <v>34</v>
      </c>
      <c r="D19" t="s">
        <v>28</v>
      </c>
      <c r="E19">
        <v>0.54361800000000005</v>
      </c>
      <c r="F19" s="4"/>
      <c r="G19">
        <f>(E21*F19)-1</f>
        <v>-1</v>
      </c>
      <c r="H19" t="str">
        <f>IF(G19&gt;0.05,"Y","N")</f>
        <v>N</v>
      </c>
      <c r="I19">
        <f>IF(H19="N",0,IFERROR(25*0.1*MAX(G19/(F19-1),0),0))</f>
        <v>0</v>
      </c>
      <c r="J19" s="1"/>
      <c r="K19" s="1"/>
      <c r="L19" s="1"/>
      <c r="M19" s="1"/>
      <c r="P19" t="s">
        <v>28</v>
      </c>
      <c r="R19" s="4"/>
      <c r="S19">
        <f>(Q21*R19)-1</f>
        <v>-1</v>
      </c>
      <c r="T19" t="str">
        <f>IF(S19&gt;0.05,"Y","N")</f>
        <v>N</v>
      </c>
      <c r="U19">
        <f>IF(T19="N",0,IFERROR(25*0.1*MAX(S19/(R19-1),0),0))</f>
        <v>0</v>
      </c>
    </row>
    <row r="20" spans="2:21" x14ac:dyDescent="0.35">
      <c r="D20" t="s">
        <v>29</v>
      </c>
      <c r="E20">
        <v>0.45638200000000001</v>
      </c>
      <c r="F20" s="3"/>
      <c r="G20">
        <f>(E20*F20)-1</f>
        <v>-1</v>
      </c>
      <c r="H20" t="str">
        <f>IF(G20&gt;0.05,"Y","N")</f>
        <v>N</v>
      </c>
      <c r="I20">
        <f>IF(H20="N",0,IFERROR(25*0.1*MAX(G20/(F20-1),0),0))</f>
        <v>0</v>
      </c>
      <c r="J20" s="1"/>
      <c r="K20" s="1"/>
      <c r="L20" s="1"/>
      <c r="M20" s="1"/>
      <c r="N20" t="s">
        <v>75</v>
      </c>
      <c r="O20" t="s">
        <v>31</v>
      </c>
      <c r="P20" t="s">
        <v>29</v>
      </c>
      <c r="R20" s="3"/>
      <c r="S20">
        <f>(Q20*R20)-1</f>
        <v>-1</v>
      </c>
      <c r="T20" t="str">
        <f>IF(S20&gt;0.05,"Y","N")</f>
        <v>N</v>
      </c>
      <c r="U20">
        <f>IF(T20="N",0,IFERROR(25*0.1*MAX(S20/(R20-1),0),0))</f>
        <v>0</v>
      </c>
    </row>
    <row r="21" spans="2:21" x14ac:dyDescent="0.35">
      <c r="D21" s="2" t="s">
        <v>30</v>
      </c>
      <c r="E21">
        <v>2.5007630000000001</v>
      </c>
      <c r="F21" s="3"/>
      <c r="J21" s="1"/>
      <c r="K21" s="1"/>
      <c r="L21" s="1"/>
      <c r="M21" s="1"/>
      <c r="P21" s="2" t="s">
        <v>30</v>
      </c>
      <c r="R21" s="3"/>
    </row>
    <row r="22" spans="2:21" x14ac:dyDescent="0.35">
      <c r="F22" s="4"/>
      <c r="J22" s="1"/>
      <c r="K22" s="1"/>
      <c r="L22" s="1"/>
      <c r="M22" s="1"/>
      <c r="R22" s="4"/>
    </row>
    <row r="23" spans="2:21" x14ac:dyDescent="0.35">
      <c r="B23" t="s">
        <v>35</v>
      </c>
      <c r="C23" t="s">
        <v>36</v>
      </c>
      <c r="D23" t="s">
        <v>28</v>
      </c>
      <c r="E23">
        <v>0.51999899999999999</v>
      </c>
      <c r="F23" s="4">
        <v>1.7272727272727273</v>
      </c>
      <c r="G23">
        <f>(E23*F23)-1</f>
        <v>-0.1018199090909091</v>
      </c>
      <c r="H23" t="str">
        <f>IF(G23&gt;0.05,"Y","N")</f>
        <v>N</v>
      </c>
      <c r="I23">
        <f>IF(H23="N",0,IFERROR(25*0.1*MAX(G23/(F23-1),0),0))</f>
        <v>0</v>
      </c>
      <c r="J23" s="1"/>
      <c r="K23" s="1"/>
      <c r="L23" s="1"/>
      <c r="M23" s="1"/>
      <c r="N23" t="s">
        <v>32</v>
      </c>
      <c r="O23" t="s">
        <v>36</v>
      </c>
      <c r="P23" t="s">
        <v>28</v>
      </c>
      <c r="R23" s="4"/>
      <c r="S23">
        <f>(Q23*R23)-1</f>
        <v>-1</v>
      </c>
      <c r="T23" t="str">
        <f>IF(S23&gt;0.05,"Y","N")</f>
        <v>N</v>
      </c>
      <c r="U23">
        <f>IF(T23="N",0,IFERROR(25*0.1*MAX(S23/(R23-1),0),0))</f>
        <v>0</v>
      </c>
    </row>
    <row r="24" spans="2:21" x14ac:dyDescent="0.35">
      <c r="D24" t="s">
        <v>29</v>
      </c>
      <c r="E24">
        <v>0.48000100000000001</v>
      </c>
      <c r="F24" s="3">
        <v>2.1</v>
      </c>
      <c r="G24">
        <f>(E24*F24)-1</f>
        <v>8.002100000000123E-3</v>
      </c>
      <c r="H24" t="str">
        <f>IF(G24&gt;0.05,"Y","N")</f>
        <v>N</v>
      </c>
      <c r="I24">
        <f>IF(H24="N",0,IFERROR(25*0.1*MAX(G24/(F24-1),0),0))</f>
        <v>0</v>
      </c>
      <c r="J24" s="1"/>
      <c r="K24" s="1"/>
      <c r="L24" s="1"/>
      <c r="M24" s="1"/>
      <c r="P24" t="s">
        <v>29</v>
      </c>
      <c r="R24" s="3"/>
      <c r="S24">
        <f>(Q24*R24)-1</f>
        <v>-1</v>
      </c>
      <c r="T24" t="str">
        <f>IF(S24&gt;0.05,"Y","N")</f>
        <v>N</v>
      </c>
      <c r="U24">
        <f>IF(T24="N",0,IFERROR(25*0.1*MAX(S24/(R24-1),0),0))</f>
        <v>0</v>
      </c>
    </row>
    <row r="25" spans="2:21" x14ac:dyDescent="0.35">
      <c r="D25" s="2" t="s">
        <v>30</v>
      </c>
      <c r="E25">
        <v>2.5937549999999998</v>
      </c>
      <c r="F25" s="3"/>
      <c r="J25" s="1"/>
      <c r="K25" s="1"/>
      <c r="L25" s="1"/>
      <c r="M25" s="1"/>
      <c r="P25" s="2" t="s">
        <v>30</v>
      </c>
      <c r="R25" s="3"/>
    </row>
    <row r="26" spans="2:21" x14ac:dyDescent="0.35">
      <c r="J26" s="1"/>
      <c r="K26" s="1"/>
      <c r="L26" s="1"/>
      <c r="M26" s="1"/>
    </row>
    <row r="27" spans="2:21" x14ac:dyDescent="0.35">
      <c r="B27" t="s">
        <v>37</v>
      </c>
      <c r="C27" t="s">
        <v>38</v>
      </c>
      <c r="D27" t="s">
        <v>28</v>
      </c>
      <c r="E27">
        <v>0.56914399999999998</v>
      </c>
      <c r="F27" s="4">
        <v>2.2000000000000002</v>
      </c>
      <c r="G27">
        <f>(E27*F27)-1</f>
        <v>0.25211680000000003</v>
      </c>
      <c r="H27" t="str">
        <f>IF(G27&gt;0.05,"Y","N")</f>
        <v>Y</v>
      </c>
      <c r="I27">
        <f>IF(H27="N",0,IFERROR(25*0.1*MAX(G27/(F27-1),0),0))</f>
        <v>0.52524333333333328</v>
      </c>
      <c r="J27" s="1" t="s">
        <v>79</v>
      </c>
      <c r="K27" s="1" t="s">
        <v>84</v>
      </c>
      <c r="L27" s="1"/>
      <c r="M27" s="1"/>
      <c r="N27" t="s">
        <v>34</v>
      </c>
      <c r="O27" t="s">
        <v>27</v>
      </c>
      <c r="P27" t="s">
        <v>28</v>
      </c>
      <c r="R27" s="4"/>
      <c r="S27">
        <f>(Q27*R27)-1</f>
        <v>-1</v>
      </c>
      <c r="T27" t="str">
        <f>IF(S27&gt;0.05,"Y","N")</f>
        <v>N</v>
      </c>
      <c r="U27">
        <f>IF(T27="N",0,IFERROR(25*0.1*MAX(S27/(R27-1),0),0))</f>
        <v>0</v>
      </c>
    </row>
    <row r="28" spans="2:21" x14ac:dyDescent="0.35">
      <c r="D28" t="s">
        <v>29</v>
      </c>
      <c r="E28">
        <v>0.43085600000000002</v>
      </c>
      <c r="F28" s="3">
        <v>1.6666666666666667</v>
      </c>
      <c r="G28">
        <f>(E28*F28)-1</f>
        <v>-0.28190666666666664</v>
      </c>
      <c r="H28" t="str">
        <f>IF(G28&gt;0.05,"Y","N")</f>
        <v>N</v>
      </c>
      <c r="I28">
        <f>IF(H28="N",0,IFERROR(25*0.1*MAX(G28/(F28-1),0),0))</f>
        <v>0</v>
      </c>
      <c r="J28" s="1" t="s">
        <v>80</v>
      </c>
      <c r="K28" s="1" t="s">
        <v>82</v>
      </c>
      <c r="L28" s="1"/>
      <c r="M28" s="1"/>
      <c r="P28" t="s">
        <v>29</v>
      </c>
      <c r="R28" s="3"/>
      <c r="S28">
        <f>(Q28*R28)-1</f>
        <v>-1</v>
      </c>
      <c r="T28" t="str">
        <f>IF(S28&gt;0.05,"Y","N")</f>
        <v>N</v>
      </c>
      <c r="U28">
        <f>IF(T28="N",0,IFERROR(25*0.1*MAX(S28/(R28-1),0),0))</f>
        <v>0</v>
      </c>
    </row>
    <row r="29" spans="2:21" x14ac:dyDescent="0.35">
      <c r="D29" s="2" t="s">
        <v>30</v>
      </c>
      <c r="E29">
        <v>2.40219</v>
      </c>
      <c r="F29" s="3"/>
      <c r="J29" s="1"/>
      <c r="K29" s="1"/>
      <c r="L29" s="1"/>
      <c r="M29" s="1"/>
      <c r="P29" s="2" t="s">
        <v>30</v>
      </c>
      <c r="R29" s="3"/>
    </row>
    <row r="30" spans="2:21" x14ac:dyDescent="0.35">
      <c r="J30" s="1"/>
      <c r="K30" s="1"/>
      <c r="L30" s="1"/>
      <c r="M30" s="1"/>
    </row>
    <row r="31" spans="2:21" x14ac:dyDescent="0.35">
      <c r="B31" t="s">
        <v>39</v>
      </c>
      <c r="C31" t="s">
        <v>40</v>
      </c>
      <c r="D31" t="s">
        <v>28</v>
      </c>
      <c r="E31">
        <v>0.54400800000000005</v>
      </c>
      <c r="F31" s="4"/>
      <c r="G31">
        <f>(E31*F31)-1</f>
        <v>-1</v>
      </c>
      <c r="H31" t="str">
        <f>IF(G31&gt;0.05,"Y","N")</f>
        <v>N</v>
      </c>
      <c r="I31">
        <f>IF(H31="N",0,IFERROR(25*0.1*MAX(G31/(F31-1),0),0))</f>
        <v>0</v>
      </c>
      <c r="J31" s="1"/>
      <c r="K31" s="1"/>
      <c r="L31" s="1"/>
      <c r="M31" s="1"/>
      <c r="N31" t="s">
        <v>26</v>
      </c>
      <c r="O31" t="s">
        <v>33</v>
      </c>
      <c r="P31" t="s">
        <v>28</v>
      </c>
      <c r="R31" s="4"/>
      <c r="S31">
        <f>(Q31*R31)-1</f>
        <v>-1</v>
      </c>
      <c r="T31" t="str">
        <f>IF(S31&gt;0.05,"Y","N")</f>
        <v>N</v>
      </c>
      <c r="U31">
        <f>IF(T31="N",0,IFERROR(25*0.1*MAX(S31/(R31-1),0),0))</f>
        <v>0</v>
      </c>
    </row>
    <row r="32" spans="2:21" x14ac:dyDescent="0.35">
      <c r="D32" t="s">
        <v>29</v>
      </c>
      <c r="E32">
        <v>0.45599200000000001</v>
      </c>
      <c r="F32" s="3"/>
      <c r="G32">
        <f>(E32*F32)-1</f>
        <v>-1</v>
      </c>
      <c r="H32" t="str">
        <f>IF(G32&gt;0.05,"Y","N")</f>
        <v>N</v>
      </c>
      <c r="I32">
        <f>IF(H32="N",0,IFERROR(25*0.1*MAX(G32/(F32-1),0),0))</f>
        <v>0</v>
      </c>
      <c r="J32" s="1"/>
      <c r="K32" s="1"/>
      <c r="L32" s="1"/>
      <c r="M32" s="1"/>
      <c r="P32" t="s">
        <v>29</v>
      </c>
      <c r="R32" s="3"/>
      <c r="S32">
        <f>(Q32*R32)-1</f>
        <v>-1</v>
      </c>
      <c r="T32" t="str">
        <f>IF(S32&gt;0.05,"Y","N")</f>
        <v>N</v>
      </c>
      <c r="U32">
        <f>IF(T32="N",0,IFERROR(25*0.1*MAX(S32/(R32-1),0),0))</f>
        <v>0</v>
      </c>
    </row>
    <row r="33" spans="2:21" x14ac:dyDescent="0.35">
      <c r="D33" s="2" t="s">
        <v>30</v>
      </c>
      <c r="E33">
        <v>2.4992429999999999</v>
      </c>
      <c r="F33" s="3"/>
      <c r="J33" s="1"/>
      <c r="K33" s="1"/>
      <c r="L33" s="1"/>
      <c r="M33" s="1"/>
      <c r="P33" s="2" t="s">
        <v>30</v>
      </c>
      <c r="R33" s="3"/>
    </row>
    <row r="34" spans="2:21" x14ac:dyDescent="0.35">
      <c r="J34" s="1"/>
      <c r="K34" s="1"/>
      <c r="L34" s="1"/>
      <c r="M34" s="1"/>
    </row>
    <row r="35" spans="2:21" x14ac:dyDescent="0.35">
      <c r="B35" t="s">
        <v>41</v>
      </c>
      <c r="C35" t="s">
        <v>42</v>
      </c>
      <c r="D35" t="s">
        <v>28</v>
      </c>
      <c r="E35">
        <v>0.47136099999999997</v>
      </c>
      <c r="F35" s="4"/>
      <c r="G35">
        <f>(E37*F35)-1</f>
        <v>-1</v>
      </c>
      <c r="H35" t="str">
        <f>IF(G35&gt;0.05,"Y","N")</f>
        <v>N</v>
      </c>
      <c r="I35">
        <f>IF(H35="N",0,IFERROR(25*0.1*MAX(G35/(F35-1),0),0))</f>
        <v>0</v>
      </c>
      <c r="J35" s="1"/>
      <c r="K35" s="1"/>
      <c r="L35" s="1"/>
      <c r="M35" s="1"/>
      <c r="N35" t="s">
        <v>41</v>
      </c>
      <c r="O35" t="s">
        <v>39</v>
      </c>
      <c r="P35" t="s">
        <v>28</v>
      </c>
      <c r="R35" s="4"/>
      <c r="S35">
        <f>(Q37*R35)-1</f>
        <v>-1</v>
      </c>
      <c r="T35" t="str">
        <f>IF(S35&gt;0.05,"Y","N")</f>
        <v>N</v>
      </c>
      <c r="U35">
        <f>IF(T35="N",0,IFERROR(25*0.1*MAX(S35/(R35-1),0),0))</f>
        <v>0</v>
      </c>
    </row>
    <row r="36" spans="2:21" x14ac:dyDescent="0.35">
      <c r="D36" t="s">
        <v>29</v>
      </c>
      <c r="E36">
        <v>0.52863899999999997</v>
      </c>
      <c r="F36" s="3"/>
      <c r="G36">
        <f>(E36*F36)-1</f>
        <v>-1</v>
      </c>
      <c r="H36" t="str">
        <f>IF(G36&gt;0.05,"Y","N")</f>
        <v>N</v>
      </c>
      <c r="I36">
        <f>IF(H36="N",0,IFERROR(25*0.1*MAX(G36/(F36-1),0),0))</f>
        <v>0</v>
      </c>
      <c r="J36" s="1"/>
      <c r="K36" s="1"/>
      <c r="L36" s="1"/>
      <c r="M36" s="1"/>
      <c r="P36" t="s">
        <v>29</v>
      </c>
      <c r="R36" s="3"/>
      <c r="S36">
        <f>(Q36*R36)-1</f>
        <v>-1</v>
      </c>
      <c r="T36" t="str">
        <f>IF(S36&gt;0.05,"Y","N")</f>
        <v>N</v>
      </c>
      <c r="U36">
        <f>IF(T36="N",0,IFERROR(25*0.1*MAX(S36/(R36-1),0),0))</f>
        <v>0</v>
      </c>
    </row>
    <row r="37" spans="2:21" x14ac:dyDescent="0.35">
      <c r="D37" s="2" t="s">
        <v>30</v>
      </c>
      <c r="E37">
        <v>2.7922129999999998</v>
      </c>
      <c r="F37" s="3"/>
      <c r="J37" s="1"/>
      <c r="K37" s="1"/>
      <c r="L37" s="1"/>
      <c r="M37" s="1"/>
      <c r="P37" s="2" t="s">
        <v>30</v>
      </c>
      <c r="R37" s="3"/>
    </row>
    <row r="38" spans="2:21" x14ac:dyDescent="0.35">
      <c r="J38" s="1"/>
      <c r="K38" s="1"/>
      <c r="L38" s="1"/>
      <c r="M38" s="1"/>
    </row>
    <row r="39" spans="2:21" x14ac:dyDescent="0.35">
      <c r="B39" t="s">
        <v>43</v>
      </c>
      <c r="C39" t="s">
        <v>44</v>
      </c>
      <c r="D39" t="s">
        <v>28</v>
      </c>
      <c r="E39">
        <v>0.526501</v>
      </c>
      <c r="F39" s="4"/>
      <c r="G39">
        <f>(E39*F39)-1</f>
        <v>-1</v>
      </c>
      <c r="H39" t="str">
        <f>IF(G39&gt;0.05,"Y","N")</f>
        <v>N</v>
      </c>
      <c r="I39">
        <f>IF(H39="N",0,IFERROR(25*0.1*MAX(G39/(F39-1),0),0))</f>
        <v>0</v>
      </c>
      <c r="J39" s="1"/>
      <c r="K39" s="1"/>
      <c r="L39" s="1"/>
      <c r="M39" s="1"/>
      <c r="N39" t="s">
        <v>40</v>
      </c>
      <c r="O39" t="s">
        <v>76</v>
      </c>
      <c r="P39" t="s">
        <v>28</v>
      </c>
      <c r="R39" s="4"/>
      <c r="S39">
        <f>(Q39*R39)-1</f>
        <v>-1</v>
      </c>
      <c r="T39" t="str">
        <f>IF(S39&gt;0.05,"Y","N")</f>
        <v>N</v>
      </c>
      <c r="U39">
        <f>IF(T39="N",0,IFERROR(25*0.1*MAX(S39/(R39-1),0),0))</f>
        <v>0</v>
      </c>
    </row>
    <row r="40" spans="2:21" x14ac:dyDescent="0.35">
      <c r="D40" t="s">
        <v>29</v>
      </c>
      <c r="E40">
        <v>0.473499</v>
      </c>
      <c r="F40" s="3"/>
      <c r="G40">
        <f>(E40*F40)-1</f>
        <v>-1</v>
      </c>
      <c r="H40" t="str">
        <f>IF(G40&gt;0.05,"Y","N")</f>
        <v>N</v>
      </c>
      <c r="I40">
        <f>IF(H40="N",0,IFERROR(25*0.1*MAX(G40/(F40-1),0),0))</f>
        <v>0</v>
      </c>
      <c r="J40" s="1"/>
      <c r="K40" s="1"/>
      <c r="L40" s="1"/>
      <c r="M40" s="1"/>
      <c r="P40" t="s">
        <v>29</v>
      </c>
      <c r="R40" s="3"/>
      <c r="S40">
        <f>(Q40*R40)-1</f>
        <v>-1</v>
      </c>
      <c r="T40" t="str">
        <f>IF(S40&gt;0.05,"Y","N")</f>
        <v>N</v>
      </c>
      <c r="U40">
        <f>IF(T40="N",0,IFERROR(25*0.1*MAX(S40/(R40-1),0),0))</f>
        <v>0</v>
      </c>
    </row>
    <row r="41" spans="2:21" x14ac:dyDescent="0.35">
      <c r="D41" s="2" t="s">
        <v>30</v>
      </c>
      <c r="E41">
        <v>2.5679650000000001</v>
      </c>
      <c r="F41" s="3"/>
      <c r="J41" s="1"/>
      <c r="K41" s="1"/>
      <c r="L41" s="1"/>
      <c r="M41" s="1"/>
      <c r="P41" s="2" t="s">
        <v>30</v>
      </c>
      <c r="R41" s="3"/>
    </row>
    <row r="42" spans="2:21" x14ac:dyDescent="0.35">
      <c r="J42" s="1"/>
      <c r="K42" s="1"/>
      <c r="L42" s="1"/>
      <c r="M42" s="1"/>
    </row>
    <row r="43" spans="2:21" x14ac:dyDescent="0.35">
      <c r="B43" t="s">
        <v>45</v>
      </c>
      <c r="C43" t="s">
        <v>46</v>
      </c>
      <c r="D43" t="s">
        <v>28</v>
      </c>
      <c r="E43">
        <v>0.50552799999999998</v>
      </c>
      <c r="F43" s="4"/>
      <c r="G43">
        <f>(E43*F43)-1</f>
        <v>-1</v>
      </c>
      <c r="H43" t="str">
        <f>IF(G43&gt;0.05,"Y","N")</f>
        <v>N</v>
      </c>
      <c r="I43">
        <f>IF(H43="N",0,IFERROR(25*0.1*MAX(G43/(F43-1),0),0))</f>
        <v>0</v>
      </c>
      <c r="J43" s="1"/>
      <c r="K43" s="1"/>
      <c r="L43" s="1"/>
      <c r="M43" s="1"/>
      <c r="N43" t="s">
        <v>43</v>
      </c>
      <c r="O43" t="s">
        <v>77</v>
      </c>
      <c r="P43" t="s">
        <v>28</v>
      </c>
      <c r="R43" s="4"/>
      <c r="S43">
        <f>(Q43*R43)-1</f>
        <v>-1</v>
      </c>
      <c r="T43" t="str">
        <f>IF(S43&gt;0.05,"Y","N")</f>
        <v>N</v>
      </c>
      <c r="U43">
        <f>IF(T43="N",0,IFERROR(25*0.1*MAX(S43/(R43-1),0),0))</f>
        <v>0</v>
      </c>
    </row>
    <row r="44" spans="2:21" x14ac:dyDescent="0.35">
      <c r="D44" t="s">
        <v>29</v>
      </c>
      <c r="E44">
        <v>0.49447200000000002</v>
      </c>
      <c r="F44" s="3"/>
      <c r="G44">
        <f>(E45*F44)-1</f>
        <v>-1</v>
      </c>
      <c r="H44" t="str">
        <f>IF(G44&gt;0.05,"Y","N")</f>
        <v>N</v>
      </c>
      <c r="I44">
        <f>IF(H44="N",0,IFERROR(25*0.1*MAX(G44/(F44-1),0),0))</f>
        <v>0</v>
      </c>
      <c r="J44" s="1"/>
      <c r="K44" s="1"/>
      <c r="L44" s="1"/>
      <c r="M44" s="1"/>
      <c r="P44" t="s">
        <v>29</v>
      </c>
      <c r="R44" s="3"/>
      <c r="S44">
        <f>(Q45*R44)-1</f>
        <v>-1</v>
      </c>
      <c r="T44" t="str">
        <f>IF(S44&gt;0.05,"Y","N")</f>
        <v>N</v>
      </c>
      <c r="U44">
        <f>IF(T44="N",0,IFERROR(25*0.1*MAX(S44/(R44-1),0),0))</f>
        <v>0</v>
      </c>
    </row>
    <row r="45" spans="2:21" x14ac:dyDescent="0.35">
      <c r="D45" s="2" t="s">
        <v>30</v>
      </c>
      <c r="E45">
        <v>2.6517110000000002</v>
      </c>
      <c r="F45" s="3"/>
      <c r="J45" s="1"/>
      <c r="K45" s="1"/>
      <c r="L45" s="1"/>
      <c r="M45" s="1"/>
      <c r="P45" s="2" t="s">
        <v>30</v>
      </c>
      <c r="R45" s="3"/>
    </row>
    <row r="46" spans="2:21" x14ac:dyDescent="0.35">
      <c r="J46" s="1"/>
      <c r="K46" s="1"/>
      <c r="L46" s="1"/>
      <c r="M46" s="1"/>
    </row>
    <row r="47" spans="2:21" x14ac:dyDescent="0.35">
      <c r="B47" t="s">
        <v>47</v>
      </c>
      <c r="C47" t="s">
        <v>48</v>
      </c>
      <c r="D47" t="s">
        <v>28</v>
      </c>
      <c r="E47">
        <v>0.55519200000000002</v>
      </c>
      <c r="F47" s="4"/>
      <c r="G47">
        <f>(E47*F47)-1</f>
        <v>-1</v>
      </c>
      <c r="H47" t="str">
        <f>IF(G47&gt;0.05,"Y","N")</f>
        <v>N</v>
      </c>
      <c r="I47">
        <f>IF(H47="N",0,IFERROR(25*0.1*MAX(G47/(F47-1),0),0))</f>
        <v>0</v>
      </c>
      <c r="J47" s="1"/>
      <c r="K47" s="1"/>
      <c r="L47" s="1"/>
      <c r="M47" s="1"/>
      <c r="N47" t="s">
        <v>46</v>
      </c>
      <c r="O47" t="s">
        <v>44</v>
      </c>
      <c r="P47" t="s">
        <v>28</v>
      </c>
      <c r="R47" s="4"/>
      <c r="S47">
        <f>(Q47*R47)-1</f>
        <v>-1</v>
      </c>
      <c r="T47" t="str">
        <f>IF(S47&gt;0.05,"Y","N")</f>
        <v>N</v>
      </c>
      <c r="U47">
        <f>IF(T47="N",0,IFERROR(25*0.1*MAX(S47/(R47-1),0),0))</f>
        <v>0</v>
      </c>
    </row>
    <row r="48" spans="2:21" x14ac:dyDescent="0.35">
      <c r="D48" t="s">
        <v>29</v>
      </c>
      <c r="E48">
        <v>0.44480799999999998</v>
      </c>
      <c r="F48" s="3"/>
      <c r="G48">
        <f>(E48*F48)-1</f>
        <v>-1</v>
      </c>
      <c r="H48" t="str">
        <f>IF(G48&gt;0.05,"Y","N")</f>
        <v>N</v>
      </c>
      <c r="I48">
        <f>IF(H48="N",0,IFERROR(25*0.1*MAX(G48/(F48-1),0),0))</f>
        <v>0</v>
      </c>
      <c r="J48" s="1"/>
      <c r="K48" s="1"/>
      <c r="L48" s="1"/>
      <c r="M48" s="1"/>
      <c r="P48" t="s">
        <v>29</v>
      </c>
      <c r="R48" s="3"/>
      <c r="S48">
        <f>(Q48*R48)-1</f>
        <v>-1</v>
      </c>
      <c r="T48" t="str">
        <f>IF(S48&gt;0.05,"Y","N")</f>
        <v>N</v>
      </c>
      <c r="U48">
        <f>IF(T48="N",0,IFERROR(25*0.1*MAX(S48/(R48-1),0),0))</f>
        <v>0</v>
      </c>
    </row>
    <row r="49" spans="2:21" x14ac:dyDescent="0.35">
      <c r="D49" s="2" t="s">
        <v>30</v>
      </c>
      <c r="E49">
        <v>2.4558409999999999</v>
      </c>
      <c r="F49" s="3"/>
      <c r="J49" s="1"/>
      <c r="K49" s="1"/>
      <c r="L49" s="1"/>
      <c r="M49" s="1"/>
      <c r="P49" s="2" t="s">
        <v>30</v>
      </c>
      <c r="R49" s="3"/>
    </row>
    <row r="50" spans="2:21" x14ac:dyDescent="0.35">
      <c r="J50" s="1"/>
      <c r="K50" s="1"/>
      <c r="L50" s="1"/>
      <c r="M50" s="1"/>
    </row>
    <row r="51" spans="2:21" x14ac:dyDescent="0.35">
      <c r="B51" t="s">
        <v>49</v>
      </c>
      <c r="C51" t="s">
        <v>50</v>
      </c>
      <c r="D51" t="s">
        <v>28</v>
      </c>
      <c r="E51">
        <v>0.47192000000000001</v>
      </c>
      <c r="F51" s="4"/>
      <c r="G51">
        <f>(E51*F51)-1</f>
        <v>-1</v>
      </c>
      <c r="H51" t="str">
        <f>IF(G51&gt;0.05,"Y","N")</f>
        <v>N</v>
      </c>
      <c r="I51">
        <f>IF(H51="N",0,IFERROR(25*0.1*MAX(G51/(F51-1),0),0))</f>
        <v>0</v>
      </c>
      <c r="J51" s="1"/>
      <c r="K51" s="1"/>
      <c r="L51" s="1"/>
      <c r="M51" s="1"/>
      <c r="N51" t="s">
        <v>48</v>
      </c>
      <c r="O51" t="s">
        <v>50</v>
      </c>
      <c r="P51" t="s">
        <v>28</v>
      </c>
      <c r="R51" s="4"/>
      <c r="S51">
        <f>(Q51*R51)-1</f>
        <v>-1</v>
      </c>
      <c r="T51" t="str">
        <f>IF(S51&gt;0.05,"Y","N")</f>
        <v>N</v>
      </c>
      <c r="U51">
        <f>IF(T51="N",0,IFERROR(25*0.1*MAX(S51/(R51-1),0),0))</f>
        <v>0</v>
      </c>
    </row>
    <row r="52" spans="2:21" x14ac:dyDescent="0.35">
      <c r="D52" t="s">
        <v>29</v>
      </c>
      <c r="E52">
        <v>0.52807999999999999</v>
      </c>
      <c r="F52" s="3"/>
      <c r="G52">
        <f>(E52*F52)-1</f>
        <v>-1</v>
      </c>
      <c r="H52" t="str">
        <f>IF(G52&gt;0.05,"Y","N")</f>
        <v>N</v>
      </c>
      <c r="I52">
        <f>IF(H52="N",0,IFERROR(25*0.1*MAX(G52/(F52-1),0),0))</f>
        <v>0</v>
      </c>
      <c r="J52" s="1"/>
      <c r="K52" s="1"/>
      <c r="L52" s="1"/>
      <c r="M52" s="1"/>
      <c r="P52" t="s">
        <v>29</v>
      </c>
      <c r="R52" s="3"/>
      <c r="S52">
        <f>(Q52*R52)-1</f>
        <v>-1</v>
      </c>
      <c r="T52" t="str">
        <f>IF(S52&gt;0.05,"Y","N")</f>
        <v>N</v>
      </c>
      <c r="U52">
        <f>IF(T52="N",0,IFERROR(25*0.1*MAX(S52/(R52-1),0),0))</f>
        <v>0</v>
      </c>
    </row>
    <row r="53" spans="2:21" x14ac:dyDescent="0.35">
      <c r="D53" s="2" t="s">
        <v>30</v>
      </c>
      <c r="E53">
        <v>2.789863</v>
      </c>
      <c r="F53" s="3"/>
      <c r="J53" s="1"/>
      <c r="K53" s="1"/>
      <c r="L53" s="1"/>
      <c r="M53" s="1"/>
      <c r="P53" s="2" t="s">
        <v>30</v>
      </c>
      <c r="R53" s="3"/>
    </row>
    <row r="54" spans="2:21" x14ac:dyDescent="0.35">
      <c r="J54" s="1"/>
      <c r="K54" s="1"/>
      <c r="L54" s="1"/>
      <c r="M54" s="1"/>
    </row>
    <row r="55" spans="2:21" x14ac:dyDescent="0.35">
      <c r="B55" t="s">
        <v>51</v>
      </c>
      <c r="C55" t="s">
        <v>52</v>
      </c>
      <c r="D55" t="s">
        <v>28</v>
      </c>
      <c r="E55">
        <v>0.49102600000000002</v>
      </c>
      <c r="F55" s="4"/>
      <c r="G55">
        <f>(E55*F55)-1</f>
        <v>-1</v>
      </c>
      <c r="H55" t="str">
        <f>IF(G55&gt;0.05,"Y","N")</f>
        <v>N</v>
      </c>
      <c r="I55">
        <f>IF(H55="N",0,IFERROR(25*0.1*MAX(G55/(F55-1),0),0))</f>
        <v>0</v>
      </c>
      <c r="J55" s="1"/>
      <c r="K55" s="1"/>
      <c r="L55" s="1"/>
      <c r="M55" s="1"/>
      <c r="N55" t="s">
        <v>49</v>
      </c>
      <c r="O55" t="s">
        <v>47</v>
      </c>
      <c r="P55" t="s">
        <v>28</v>
      </c>
      <c r="R55" s="4"/>
      <c r="S55">
        <f>(Q55*R55)-1</f>
        <v>-1</v>
      </c>
      <c r="T55" t="str">
        <f>IF(S55&gt;0.05,"Y","N")</f>
        <v>N</v>
      </c>
      <c r="U55">
        <f>IF(T55="N",0,IFERROR(25*0.1*MAX(S55/(R55-1),0),0))</f>
        <v>0</v>
      </c>
    </row>
    <row r="56" spans="2:21" x14ac:dyDescent="0.35">
      <c r="D56" t="s">
        <v>29</v>
      </c>
      <c r="E56">
        <v>0.50897400000000004</v>
      </c>
      <c r="F56" s="3"/>
      <c r="G56">
        <f>(E56*F56)-1</f>
        <v>-1</v>
      </c>
      <c r="H56" t="str">
        <f>IF(G56&gt;0.05,"Y","N")</f>
        <v>N</v>
      </c>
      <c r="I56">
        <f>IF(H56="N",0,IFERROR(25*0.1*MAX(G56/(F56-1),0),0))</f>
        <v>0</v>
      </c>
      <c r="J56" s="1"/>
      <c r="K56" s="1"/>
      <c r="L56" s="1"/>
      <c r="M56" s="1"/>
      <c r="P56" t="s">
        <v>29</v>
      </c>
      <c r="R56" s="3"/>
      <c r="S56">
        <f>(Q56*R56)-1</f>
        <v>-1</v>
      </c>
      <c r="T56" t="str">
        <f>IF(S56&gt;0.05,"Y","N")</f>
        <v>N</v>
      </c>
      <c r="U56">
        <f>IF(T56="N",0,IFERROR(25*0.1*MAX(S56/(R56-1),0),0))</f>
        <v>0</v>
      </c>
    </row>
    <row r="57" spans="2:21" x14ac:dyDescent="0.35">
      <c r="D57" s="2" t="s">
        <v>30</v>
      </c>
      <c r="E57">
        <v>2.7106560000000002</v>
      </c>
      <c r="F57" s="3"/>
      <c r="J57" s="1"/>
      <c r="K57" s="1"/>
      <c r="L57" s="1"/>
      <c r="M57" s="1"/>
      <c r="P57" s="2" t="s">
        <v>30</v>
      </c>
      <c r="R57" s="3"/>
    </row>
    <row r="58" spans="2:21" x14ac:dyDescent="0.35">
      <c r="J58" s="1"/>
      <c r="K58" s="1"/>
      <c r="L58" s="1"/>
      <c r="M58" s="1"/>
    </row>
    <row r="59" spans="2:21" x14ac:dyDescent="0.35">
      <c r="B59" t="s">
        <v>53</v>
      </c>
      <c r="C59" t="s">
        <v>54</v>
      </c>
      <c r="D59" t="s">
        <v>28</v>
      </c>
      <c r="E59">
        <v>0.50080999999999998</v>
      </c>
      <c r="F59" s="4"/>
      <c r="G59">
        <f>(E59*F59)-1</f>
        <v>-1</v>
      </c>
      <c r="H59" t="str">
        <f>IF(G59&gt;0.05,"Y","N")</f>
        <v>N</v>
      </c>
      <c r="I59">
        <f>IF(H59="N",0,IFERROR(25*0.1*MAX(G59/(F59-1),0),0))</f>
        <v>0</v>
      </c>
      <c r="J59" s="1"/>
      <c r="K59" s="1"/>
      <c r="L59" s="1"/>
      <c r="M59" s="1"/>
      <c r="N59" t="s">
        <v>53</v>
      </c>
      <c r="O59" t="s">
        <v>51</v>
      </c>
      <c r="P59" t="s">
        <v>28</v>
      </c>
      <c r="R59" s="4"/>
      <c r="S59">
        <f>(Q59*R59)-1</f>
        <v>-1</v>
      </c>
      <c r="T59" t="str">
        <f>IF(S59&gt;0.05,"Y","N")</f>
        <v>N</v>
      </c>
      <c r="U59">
        <f>IF(T59="N",0,IFERROR(25*0.1*MAX(S59/(R59-1),0),0))</f>
        <v>0</v>
      </c>
    </row>
    <row r="60" spans="2:21" x14ac:dyDescent="0.35">
      <c r="D60" t="s">
        <v>29</v>
      </c>
      <c r="E60">
        <v>0.49919000000000002</v>
      </c>
      <c r="F60" s="3"/>
      <c r="G60">
        <f>(E60*F60)-1</f>
        <v>-1</v>
      </c>
      <c r="H60" t="str">
        <f>IF(G60&gt;0.05,"Y","N")</f>
        <v>N</v>
      </c>
      <c r="I60">
        <f>IF(H60="N",0,IFERROR(25*0.1*MAX(G60/(F60-1),0),0))</f>
        <v>0</v>
      </c>
      <c r="J60" s="1"/>
      <c r="K60" s="1"/>
      <c r="L60" s="1"/>
      <c r="M60" s="1"/>
      <c r="P60" t="s">
        <v>29</v>
      </c>
      <c r="R60" s="3"/>
      <c r="S60">
        <f>(Q60*R60)-1</f>
        <v>-1</v>
      </c>
      <c r="T60" t="str">
        <f>IF(S60&gt;0.05,"Y","N")</f>
        <v>N</v>
      </c>
      <c r="U60">
        <f>IF(T60="N",0,IFERROR(25*0.1*MAX(S60/(R60-1),0),0))</f>
        <v>0</v>
      </c>
    </row>
    <row r="61" spans="2:21" x14ac:dyDescent="0.35">
      <c r="D61" s="2" t="s">
        <v>30</v>
      </c>
      <c r="E61">
        <v>2.6707890000000001</v>
      </c>
      <c r="F61" s="3"/>
      <c r="J61" s="1"/>
      <c r="K61" s="1"/>
      <c r="L61" s="1"/>
      <c r="M61" s="1"/>
      <c r="P61" s="2" t="s">
        <v>30</v>
      </c>
      <c r="R61" s="3"/>
    </row>
    <row r="62" spans="2:21" x14ac:dyDescent="0.35">
      <c r="J62" s="1"/>
      <c r="K62" s="1"/>
      <c r="L62" s="1"/>
      <c r="M62" s="1"/>
    </row>
    <row r="63" spans="2:21" x14ac:dyDescent="0.35">
      <c r="B63" t="s">
        <v>55</v>
      </c>
      <c r="C63" t="s">
        <v>56</v>
      </c>
      <c r="D63" t="s">
        <v>28</v>
      </c>
      <c r="E63">
        <v>0.495112</v>
      </c>
      <c r="F63" s="4"/>
      <c r="G63">
        <f>(E63*F63)-1</f>
        <v>-1</v>
      </c>
      <c r="H63" t="str">
        <f>IF(G63&gt;0.05,"Y","N")</f>
        <v>N</v>
      </c>
      <c r="I63">
        <f>IF(H63="N",0,IFERROR(25*0.1*MAX(G63/(F63-1),0),0))</f>
        <v>0</v>
      </c>
      <c r="J63" s="1"/>
      <c r="K63" s="1"/>
      <c r="L63" s="1"/>
      <c r="M63" s="1"/>
      <c r="N63" t="s">
        <v>52</v>
      </c>
      <c r="O63" t="s">
        <v>54</v>
      </c>
      <c r="P63" t="s">
        <v>28</v>
      </c>
      <c r="R63" s="4"/>
      <c r="S63">
        <f>(Q63*R63)-1</f>
        <v>-1</v>
      </c>
      <c r="T63" t="str">
        <f>IF(S63&gt;0.05,"Y","N")</f>
        <v>N</v>
      </c>
      <c r="U63">
        <f>IF(T63="N",0,IFERROR(25*0.1*MAX(S63/(R63-1),0),0))</f>
        <v>0</v>
      </c>
    </row>
    <row r="64" spans="2:21" x14ac:dyDescent="0.35">
      <c r="D64" t="s">
        <v>29</v>
      </c>
      <c r="E64">
        <v>0.504888</v>
      </c>
      <c r="F64" s="3"/>
      <c r="G64">
        <f>(E64*F64)-1</f>
        <v>-1</v>
      </c>
      <c r="H64" t="str">
        <f>IF(G64&gt;0.05,"Y","N")</f>
        <v>N</v>
      </c>
      <c r="I64">
        <f>IF(H64="N",0,IFERROR(25*0.1*MAX(G64/(F64-1),0),0))</f>
        <v>0</v>
      </c>
      <c r="J64" s="1"/>
      <c r="K64" s="1"/>
      <c r="L64" s="1"/>
      <c r="M64" s="1"/>
      <c r="P64" t="s">
        <v>29</v>
      </c>
      <c r="R64" s="3"/>
      <c r="S64">
        <f>(Q64*R64)-1</f>
        <v>-1</v>
      </c>
      <c r="T64" t="str">
        <f>IF(S64&gt;0.05,"Y","N")</f>
        <v>N</v>
      </c>
      <c r="U64">
        <f>IF(T64="N",0,IFERROR(25*0.1*MAX(S64/(R64-1),0),0))</f>
        <v>0</v>
      </c>
    </row>
    <row r="65" spans="2:21" x14ac:dyDescent="0.35">
      <c r="D65" s="2" t="s">
        <v>30</v>
      </c>
      <c r="E65">
        <v>2.6939540000000002</v>
      </c>
      <c r="F65" s="3"/>
      <c r="J65" s="1"/>
      <c r="K65" s="1"/>
      <c r="L65" s="1"/>
      <c r="M65" s="1"/>
      <c r="P65" s="2" t="s">
        <v>30</v>
      </c>
      <c r="R65" s="3"/>
    </row>
    <row r="66" spans="2:21" x14ac:dyDescent="0.35">
      <c r="J66" s="1"/>
      <c r="K66" s="1"/>
      <c r="L66" s="1"/>
      <c r="M66" s="1"/>
    </row>
    <row r="67" spans="2:21" x14ac:dyDescent="0.35">
      <c r="B67" t="s">
        <v>57</v>
      </c>
      <c r="C67" t="s">
        <v>58</v>
      </c>
      <c r="D67" t="s">
        <v>28</v>
      </c>
      <c r="E67">
        <v>0.55145</v>
      </c>
      <c r="F67" s="4"/>
      <c r="G67">
        <f>(E67*F67)-1</f>
        <v>-1</v>
      </c>
      <c r="H67" t="str">
        <f>IF(G67&gt;0.05,"Y","N")</f>
        <v>N</v>
      </c>
      <c r="I67">
        <f>IF(H67="N",0,IFERROR(25*0.1*MAX(G67/(F67-1),0),0))</f>
        <v>0</v>
      </c>
      <c r="J67" s="1"/>
      <c r="K67" s="1"/>
      <c r="L67" s="1"/>
      <c r="M67" s="1"/>
      <c r="N67" t="s">
        <v>58</v>
      </c>
      <c r="O67" t="s">
        <v>56</v>
      </c>
      <c r="P67" t="s">
        <v>28</v>
      </c>
      <c r="R67" s="4"/>
      <c r="S67">
        <f>(Q67*R67)-1</f>
        <v>-1</v>
      </c>
      <c r="T67" t="str">
        <f>IF(S67&gt;0.05,"Y","N")</f>
        <v>N</v>
      </c>
      <c r="U67">
        <f>IF(T67="N",0,IFERROR(25*0.1*MAX(S67/(R67-1),0),0))</f>
        <v>0</v>
      </c>
    </row>
    <row r="68" spans="2:21" x14ac:dyDescent="0.35">
      <c r="D68" t="s">
        <v>29</v>
      </c>
      <c r="E68">
        <v>0.44855</v>
      </c>
      <c r="F68" s="3"/>
      <c r="G68">
        <f>(E68*F68)-1</f>
        <v>-1</v>
      </c>
      <c r="H68" t="str">
        <f>IF(G68&gt;0.05,"Y","N")</f>
        <v>N</v>
      </c>
      <c r="I68">
        <f>IF(H68="N",0,IFERROR(25*0.1*MAX(G68/(F68-1),0),0))</f>
        <v>0</v>
      </c>
      <c r="J68" s="1"/>
      <c r="K68" s="1"/>
      <c r="L68" s="1"/>
      <c r="M68" s="1"/>
      <c r="P68" t="s">
        <v>29</v>
      </c>
      <c r="R68" s="3"/>
      <c r="S68">
        <f>(Q68*R68)-1</f>
        <v>-1</v>
      </c>
      <c r="T68" t="str">
        <f>IF(S68&gt;0.05,"Y","N")</f>
        <v>N</v>
      </c>
      <c r="U68">
        <f>IF(T68="N",0,IFERROR(25*0.1*MAX(S68/(R68-1),0),0))</f>
        <v>0</v>
      </c>
    </row>
    <row r="69" spans="2:21" x14ac:dyDescent="0.35">
      <c r="D69" s="2" t="s">
        <v>30</v>
      </c>
      <c r="E69">
        <v>2.4703189999999999</v>
      </c>
      <c r="F69" s="3"/>
      <c r="J69" s="1"/>
      <c r="K69" s="1"/>
      <c r="L69" s="1"/>
      <c r="M69" s="1"/>
      <c r="P69" s="2" t="s">
        <v>30</v>
      </c>
      <c r="R69" s="3"/>
    </row>
    <row r="70" spans="2:21" x14ac:dyDescent="0.35">
      <c r="J70" s="1"/>
      <c r="K70" s="1"/>
      <c r="L70" s="1"/>
      <c r="M70" s="1"/>
    </row>
    <row r="71" spans="2:21" x14ac:dyDescent="0.35">
      <c r="B71" t="s">
        <v>59</v>
      </c>
      <c r="C71" t="s">
        <v>60</v>
      </c>
      <c r="D71" t="s">
        <v>28</v>
      </c>
      <c r="E71">
        <v>0.48874600000000001</v>
      </c>
      <c r="F71" s="4"/>
      <c r="G71">
        <f>(E71*F71)-1</f>
        <v>-1</v>
      </c>
      <c r="H71" t="str">
        <f>IF(G71&gt;0.05,"Y","N")</f>
        <v>N</v>
      </c>
      <c r="I71">
        <f>IF(H71="N",0,IFERROR(25*0.1*MAX(G71/(F71-1),0),0))</f>
        <v>0</v>
      </c>
      <c r="J71" s="1"/>
      <c r="K71" s="1"/>
      <c r="L71" s="1"/>
      <c r="M71" s="1"/>
      <c r="N71" t="s">
        <v>55</v>
      </c>
      <c r="O71" t="s">
        <v>57</v>
      </c>
      <c r="P71" t="s">
        <v>28</v>
      </c>
      <c r="R71" s="4"/>
      <c r="S71">
        <f>(Q71*R71)-1</f>
        <v>-1</v>
      </c>
      <c r="T71" t="str">
        <f>IF(S71&gt;0.05,"Y","N")</f>
        <v>N</v>
      </c>
      <c r="U71">
        <f>IF(T71="N",0,IFERROR(25*0.1*MAX(S71/(R71-1),0),0))</f>
        <v>0</v>
      </c>
    </row>
    <row r="72" spans="2:21" x14ac:dyDescent="0.35">
      <c r="D72" t="s">
        <v>29</v>
      </c>
      <c r="E72">
        <v>0.51125399999999999</v>
      </c>
      <c r="F72" s="3"/>
      <c r="G72">
        <f>(E72*F72)-1</f>
        <v>-1</v>
      </c>
      <c r="H72" t="str">
        <f>IF(G72&gt;0.05,"Y","N")</f>
        <v>N</v>
      </c>
      <c r="I72">
        <f>IF(H72="N",0,IFERROR(25*0.1*MAX(G72/(F72-1),0),0))</f>
        <v>0</v>
      </c>
      <c r="J72" s="1"/>
      <c r="K72" s="1"/>
      <c r="L72" s="1"/>
      <c r="M72" s="1"/>
      <c r="P72" t="s">
        <v>29</v>
      </c>
      <c r="R72" s="3"/>
      <c r="S72">
        <f>(Q72*R72)-1</f>
        <v>-1</v>
      </c>
      <c r="T72" t="str">
        <f>IF(S72&gt;0.05,"Y","N")</f>
        <v>N</v>
      </c>
      <c r="U72">
        <f>IF(T72="N",0,IFERROR(25*0.1*MAX(S72/(R72-1),0),0))</f>
        <v>0</v>
      </c>
    </row>
    <row r="73" spans="2:21" x14ac:dyDescent="0.35">
      <c r="D73" s="2" t="s">
        <v>30</v>
      </c>
      <c r="E73">
        <v>2.7200099999999998</v>
      </c>
      <c r="F73" s="3"/>
      <c r="J73" s="1"/>
      <c r="K73" s="1"/>
      <c r="L73" s="1"/>
      <c r="M73" s="1"/>
      <c r="P73" s="2" t="s">
        <v>30</v>
      </c>
      <c r="R73" s="3"/>
    </row>
    <row r="74" spans="2:21" x14ac:dyDescent="0.35">
      <c r="J74" s="1"/>
      <c r="K74" s="1"/>
      <c r="L74" s="1"/>
      <c r="M74" s="1"/>
    </row>
    <row r="75" spans="2:21" x14ac:dyDescent="0.35">
      <c r="B75" t="s">
        <v>61</v>
      </c>
      <c r="C75" t="s">
        <v>62</v>
      </c>
      <c r="D75" t="s">
        <v>28</v>
      </c>
      <c r="E75">
        <v>0.49444300000000002</v>
      </c>
      <c r="F75" s="4"/>
      <c r="G75">
        <f>(E75*F75)-1</f>
        <v>-1</v>
      </c>
      <c r="H75" t="str">
        <f>IF(G75&gt;0.05,"Y","N")</f>
        <v>N</v>
      </c>
      <c r="I75">
        <f>IF(H75="N",0,IFERROR(25*0.1*MAX(G75/(F75-1),0),0))</f>
        <v>0</v>
      </c>
      <c r="J75" s="1"/>
      <c r="K75" s="1"/>
      <c r="L75" s="1"/>
      <c r="M75" s="1"/>
      <c r="N75" t="s">
        <v>59</v>
      </c>
      <c r="O75" t="s">
        <v>61</v>
      </c>
      <c r="P75" t="s">
        <v>28</v>
      </c>
      <c r="R75" s="4"/>
      <c r="S75">
        <f>(Q75*R75)-1</f>
        <v>-1</v>
      </c>
      <c r="T75" t="str">
        <f>IF(S75&gt;0.05,"Y","N")</f>
        <v>N</v>
      </c>
      <c r="U75">
        <f>IF(T75="N",0,IFERROR(25*0.1*MAX(S75/(R75-1),0),0))</f>
        <v>0</v>
      </c>
    </row>
    <row r="76" spans="2:21" x14ac:dyDescent="0.35">
      <c r="D76" t="s">
        <v>29</v>
      </c>
      <c r="E76">
        <v>0.50555700000000003</v>
      </c>
      <c r="F76" s="3"/>
      <c r="G76">
        <f>(E76*F76)-1</f>
        <v>-1</v>
      </c>
      <c r="H76" t="str">
        <f>IF(G76&gt;0.05,"Y","N")</f>
        <v>N</v>
      </c>
      <c r="I76">
        <f>IF(H76="N",0,IFERROR(25*0.1*MAX(G76/(F76-1),0),0))</f>
        <v>0</v>
      </c>
      <c r="J76" s="1"/>
      <c r="K76" s="1"/>
      <c r="L76" s="1"/>
      <c r="M76" s="1"/>
      <c r="P76" t="s">
        <v>29</v>
      </c>
      <c r="R76" s="3"/>
      <c r="S76">
        <f>(Q76*R76)-1</f>
        <v>-1</v>
      </c>
      <c r="T76" t="str">
        <f>IF(S76&gt;0.05,"Y","N")</f>
        <v>N</v>
      </c>
      <c r="U76">
        <f>IF(T76="N",0,IFERROR(25*0.1*MAX(S76/(R76-1),0),0))</f>
        <v>0</v>
      </c>
    </row>
    <row r="77" spans="2:21" x14ac:dyDescent="0.35">
      <c r="D77" s="2" t="s">
        <v>30</v>
      </c>
      <c r="E77">
        <v>2.696682</v>
      </c>
      <c r="F77" s="3"/>
      <c r="J77" s="1"/>
      <c r="K77" s="1"/>
      <c r="L77" s="1"/>
      <c r="M77" s="1"/>
      <c r="P77" s="2" t="s">
        <v>30</v>
      </c>
      <c r="R77" s="3"/>
    </row>
    <row r="78" spans="2:21" x14ac:dyDescent="0.35">
      <c r="J78" s="1"/>
      <c r="K78" s="1"/>
      <c r="L78" s="1"/>
      <c r="M78" s="1"/>
    </row>
    <row r="79" spans="2:21" x14ac:dyDescent="0.35">
      <c r="B79" t="s">
        <v>63</v>
      </c>
      <c r="C79" t="s">
        <v>64</v>
      </c>
      <c r="D79" t="s">
        <v>28</v>
      </c>
      <c r="E79">
        <v>0.54948600000000003</v>
      </c>
      <c r="F79" s="4"/>
      <c r="G79">
        <f>(E79*F79)-1</f>
        <v>-1</v>
      </c>
      <c r="H79" t="str">
        <f>IF(G79&gt;0.05,"Y","N")</f>
        <v>N</v>
      </c>
      <c r="I79">
        <f>IF(H79="N",0,IFERROR(25*0.1*MAX(G79/(F79-1),0),0))</f>
        <v>0</v>
      </c>
      <c r="J79" s="1"/>
      <c r="K79" s="1"/>
      <c r="L79" s="1"/>
      <c r="M79" s="1"/>
      <c r="N79" t="s">
        <v>62</v>
      </c>
      <c r="O79" t="s">
        <v>60</v>
      </c>
      <c r="P79" t="s">
        <v>28</v>
      </c>
      <c r="R79" s="4"/>
      <c r="S79">
        <f>(Q79*R79)-1</f>
        <v>-1</v>
      </c>
      <c r="T79" t="str">
        <f>IF(S79&gt;0.05,"Y","N")</f>
        <v>N</v>
      </c>
      <c r="U79">
        <f>IF(T79="N",0,IFERROR(25*0.1*MAX(S79/(R79-1),0),0))</f>
        <v>0</v>
      </c>
    </row>
    <row r="80" spans="2:21" x14ac:dyDescent="0.35">
      <c r="D80" t="s">
        <v>29</v>
      </c>
      <c r="E80">
        <v>0.45051400000000003</v>
      </c>
      <c r="F80" s="3"/>
      <c r="G80">
        <f>(E80*F80)-1</f>
        <v>-1</v>
      </c>
      <c r="H80" t="str">
        <f>IF(G80&gt;0.05,"Y","N")</f>
        <v>N</v>
      </c>
      <c r="I80">
        <f>IF(H80="N",0,IFERROR(25*0.1*MAX(G80/(F80-1),0),0))</f>
        <v>0</v>
      </c>
      <c r="J80" s="1"/>
      <c r="K80" s="1"/>
      <c r="L80" s="1"/>
      <c r="M80" s="1"/>
      <c r="P80" t="s">
        <v>29</v>
      </c>
      <c r="R80" s="3"/>
      <c r="S80">
        <f>(Q80*R80)-1</f>
        <v>-1</v>
      </c>
      <c r="T80" t="str">
        <f>IF(S80&gt;0.05,"Y","N")</f>
        <v>N</v>
      </c>
      <c r="U80">
        <f>IF(T80="N",0,IFERROR(25*0.1*MAX(S80/(R80-1),0),0))</f>
        <v>0</v>
      </c>
    </row>
    <row r="81" spans="2:21" x14ac:dyDescent="0.35">
      <c r="D81" s="2" t="s">
        <v>30</v>
      </c>
      <c r="E81">
        <v>2.477938</v>
      </c>
      <c r="F81" s="3"/>
      <c r="J81" s="1"/>
      <c r="K81" s="1"/>
      <c r="L81" s="1"/>
      <c r="M81" s="1"/>
      <c r="P81" s="2" t="s">
        <v>30</v>
      </c>
      <c r="R81" s="3"/>
    </row>
    <row r="82" spans="2:21" x14ac:dyDescent="0.35">
      <c r="J82" s="1"/>
      <c r="K82" s="1"/>
      <c r="L82" s="1"/>
      <c r="M82" s="1"/>
    </row>
    <row r="83" spans="2:21" x14ac:dyDescent="0.35">
      <c r="B83" t="s">
        <v>65</v>
      </c>
      <c r="C83" t="s">
        <v>66</v>
      </c>
      <c r="D83" t="s">
        <v>28</v>
      </c>
      <c r="E83">
        <v>0.51395900000000005</v>
      </c>
      <c r="F83" s="4"/>
      <c r="G83">
        <f>(E83*F83)-1</f>
        <v>-1</v>
      </c>
      <c r="H83" t="str">
        <f>IF(G83&gt;0.05,"Y","N")</f>
        <v>N</v>
      </c>
      <c r="I83">
        <f>IF(H83="N",0,IFERROR(25*0.1*MAX(G83/(F83-1),0),0))</f>
        <v>0</v>
      </c>
      <c r="J83" s="1"/>
      <c r="K83" s="1"/>
      <c r="L83" s="1"/>
      <c r="M83" s="1"/>
      <c r="N83" t="s">
        <v>65</v>
      </c>
      <c r="O83" t="s">
        <v>63</v>
      </c>
      <c r="P83" t="s">
        <v>28</v>
      </c>
      <c r="R83" s="4"/>
      <c r="S83">
        <f>(Q83*R83)-1</f>
        <v>-1</v>
      </c>
      <c r="T83" t="str">
        <f>IF(S83&gt;0.05,"Y","N")</f>
        <v>N</v>
      </c>
      <c r="U83">
        <f>IF(T83="N",0,IFERROR(25*0.1*MAX(S83/(R83-1),0),0))</f>
        <v>0</v>
      </c>
    </row>
    <row r="84" spans="2:21" x14ac:dyDescent="0.35">
      <c r="D84" t="s">
        <v>29</v>
      </c>
      <c r="E84">
        <v>0.486041</v>
      </c>
      <c r="F84" s="3"/>
      <c r="G84">
        <f>(E84*F84)-1</f>
        <v>-1</v>
      </c>
      <c r="H84" t="str">
        <f>IF(G84&gt;0.05,"Y","N")</f>
        <v>N</v>
      </c>
      <c r="I84">
        <f>IF(H84="N",0,IFERROR(25*0.1*MAX(G84/(F84-1),0),0))</f>
        <v>0</v>
      </c>
      <c r="J84" s="1"/>
      <c r="K84" s="1"/>
      <c r="L84" s="1"/>
      <c r="M84" s="1"/>
      <c r="P84" t="s">
        <v>29</v>
      </c>
      <c r="R84" s="3"/>
      <c r="S84">
        <f>(Q84*R84)-1</f>
        <v>-1</v>
      </c>
      <c r="T84" t="str">
        <f>IF(S84&gt;0.05,"Y","N")</f>
        <v>N</v>
      </c>
      <c r="U84">
        <f>IF(T84="N",0,IFERROR(25*0.1*MAX(S84/(R84-1),0),0))</f>
        <v>0</v>
      </c>
    </row>
    <row r="85" spans="2:21" x14ac:dyDescent="0.35">
      <c r="D85" s="2" t="s">
        <v>30</v>
      </c>
      <c r="E85">
        <v>2.6178469999999998</v>
      </c>
      <c r="F85" s="3"/>
      <c r="P85" s="2" t="s">
        <v>30</v>
      </c>
      <c r="R85" s="3"/>
    </row>
    <row r="87" spans="2:21" x14ac:dyDescent="0.35">
      <c r="B87" t="s">
        <v>67</v>
      </c>
      <c r="C87" t="s">
        <v>68</v>
      </c>
      <c r="D87" t="s">
        <v>28</v>
      </c>
      <c r="E87">
        <v>0.48618800000000001</v>
      </c>
      <c r="F87" s="4"/>
      <c r="G87">
        <f>(E87*F87)-1</f>
        <v>-1</v>
      </c>
      <c r="H87" t="str">
        <f>IF(G87&gt;0.05,"Y","N")</f>
        <v>N</v>
      </c>
      <c r="I87">
        <f>IF(H87="N",0,IFERROR(25*0.1*MAX(G87/(F87-1),0),0))</f>
        <v>0</v>
      </c>
      <c r="N87" t="s">
        <v>64</v>
      </c>
      <c r="O87" t="s">
        <v>66</v>
      </c>
      <c r="P87" t="s">
        <v>28</v>
      </c>
      <c r="R87" s="4"/>
      <c r="S87">
        <f>(Q87*R87)-1</f>
        <v>-1</v>
      </c>
      <c r="T87" t="str">
        <f>IF(S87&gt;0.05,"Y","N")</f>
        <v>N</v>
      </c>
      <c r="U87">
        <f>IF(T87="N",0,IFERROR(25*0.1*MAX(S87/(R87-1),0),0))</f>
        <v>0</v>
      </c>
    </row>
    <row r="88" spans="2:21" x14ac:dyDescent="0.35">
      <c r="D88" t="s">
        <v>29</v>
      </c>
      <c r="E88">
        <v>0.51381200000000005</v>
      </c>
      <c r="F88" s="3"/>
      <c r="G88">
        <f>(E88*F88)-1</f>
        <v>-1</v>
      </c>
      <c r="H88" t="str">
        <f>IF(G88&gt;0.05,"Y","N")</f>
        <v>N</v>
      </c>
      <c r="I88">
        <f>IF(H88="N",0,IFERROR(25*0.1*MAX(G88/(F88-1),0),0))</f>
        <v>0</v>
      </c>
      <c r="P88" t="s">
        <v>29</v>
      </c>
      <c r="R88" s="3"/>
      <c r="S88">
        <f>(Q88*R88)-1</f>
        <v>-1</v>
      </c>
      <c r="T88" t="str">
        <f>IF(S88&gt;0.05,"Y","N")</f>
        <v>N</v>
      </c>
      <c r="U88">
        <f>IF(T88="N",0,IFERROR(25*0.1*MAX(S88/(R88-1),0),0))</f>
        <v>0</v>
      </c>
    </row>
    <row r="89" spans="2:21" x14ac:dyDescent="0.35">
      <c r="D89" s="2" t="s">
        <v>30</v>
      </c>
      <c r="E89">
        <v>2.7305329999999999</v>
      </c>
      <c r="F89" s="3"/>
      <c r="P89" s="2" t="s">
        <v>30</v>
      </c>
      <c r="R89" s="3"/>
    </row>
    <row r="91" spans="2:21" x14ac:dyDescent="0.35">
      <c r="B91" t="s">
        <v>69</v>
      </c>
      <c r="C91" t="s">
        <v>70</v>
      </c>
      <c r="D91" t="s">
        <v>28</v>
      </c>
      <c r="E91">
        <v>0.54983300000000002</v>
      </c>
      <c r="F91" s="4"/>
      <c r="G91">
        <f>(E91*F91)-1</f>
        <v>-1</v>
      </c>
      <c r="H91" t="str">
        <f>IF(G91&gt;0.05,"Y","N")</f>
        <v>N</v>
      </c>
      <c r="I91">
        <f>IF(H91="N",0,IFERROR(25*0.1*MAX(G91/(F91-1),0),0))</f>
        <v>0</v>
      </c>
      <c r="N91" t="s">
        <v>67</v>
      </c>
      <c r="O91" t="s">
        <v>69</v>
      </c>
      <c r="P91" t="s">
        <v>28</v>
      </c>
      <c r="R91" s="4"/>
      <c r="S91">
        <f>(Q91*R91)-1</f>
        <v>-1</v>
      </c>
      <c r="T91" t="str">
        <f>IF(S91&gt;0.05,"Y","N")</f>
        <v>N</v>
      </c>
      <c r="U91">
        <f>IF(T91="N",0,IFERROR(25*0.1*MAX(S91/(R91-1),0),0))</f>
        <v>0</v>
      </c>
    </row>
    <row r="92" spans="2:21" x14ac:dyDescent="0.35">
      <c r="D92" t="s">
        <v>29</v>
      </c>
      <c r="E92">
        <v>0.45016699999999998</v>
      </c>
      <c r="F92" s="3"/>
      <c r="G92">
        <f>(E92*F92)-1</f>
        <v>-1</v>
      </c>
      <c r="H92" t="str">
        <f>IF(G92&gt;0.05,"Y","N")</f>
        <v>N</v>
      </c>
      <c r="I92">
        <f>IF(H92="N",0,IFERROR(25*0.1*MAX(G92/(F92-1),0),0))</f>
        <v>0</v>
      </c>
      <c r="P92" t="s">
        <v>29</v>
      </c>
      <c r="R92" s="3"/>
      <c r="S92">
        <f>(Q92*R92)-1</f>
        <v>-1</v>
      </c>
      <c r="T92" t="str">
        <f>IF(S92&gt;0.05,"Y","N")</f>
        <v>N</v>
      </c>
      <c r="U92">
        <f>IF(T92="N",0,IFERROR(25*0.1*MAX(S92/(R92-1),0),0))</f>
        <v>0</v>
      </c>
    </row>
    <row r="93" spans="2:21" x14ac:dyDescent="0.35">
      <c r="D93" s="2" t="s">
        <v>30</v>
      </c>
      <c r="E93">
        <v>2.4765899999999998</v>
      </c>
      <c r="F93" s="3"/>
      <c r="P93" s="2" t="s">
        <v>30</v>
      </c>
      <c r="R93" s="3"/>
    </row>
    <row r="95" spans="2:21" x14ac:dyDescent="0.35">
      <c r="N95" t="s">
        <v>70</v>
      </c>
      <c r="O95" t="s">
        <v>68</v>
      </c>
      <c r="P95" t="s">
        <v>28</v>
      </c>
      <c r="R95" s="4"/>
      <c r="S95">
        <f>(Q95*R95)-1</f>
        <v>-1</v>
      </c>
      <c r="T95" t="str">
        <f>IF(S95&gt;0.05,"Y","N")</f>
        <v>N</v>
      </c>
      <c r="U95">
        <f>IF(T95="N",0,IFERROR(25*0.1*MAX(S95/(R95-1),0),0))</f>
        <v>0</v>
      </c>
    </row>
    <row r="96" spans="2:21" x14ac:dyDescent="0.35">
      <c r="P96" t="s">
        <v>29</v>
      </c>
      <c r="R96" s="3"/>
      <c r="S96">
        <f>(Q96*R96)-1</f>
        <v>-1</v>
      </c>
      <c r="T96" t="str">
        <f>IF(S96&gt;0.05,"Y","N")</f>
        <v>N</v>
      </c>
      <c r="U96">
        <f>IF(T96="N",0,IFERROR(25*0.1*MAX(S96/(R96-1),0),0))</f>
        <v>0</v>
      </c>
    </row>
    <row r="97" spans="16:18" x14ac:dyDescent="0.35">
      <c r="P97" s="2" t="s">
        <v>30</v>
      </c>
      <c r="R97" s="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0C844-D517-48D3-9936-3CACEB712726}">
  <dimension ref="A1:V183"/>
  <sheetViews>
    <sheetView topLeftCell="B51" zoomScale="75" workbookViewId="0">
      <selection activeCell="K51" sqref="K51"/>
    </sheetView>
  </sheetViews>
  <sheetFormatPr defaultRowHeight="14.5" x14ac:dyDescent="0.35"/>
  <cols>
    <col min="2" max="2" width="12.36328125" customWidth="1"/>
    <col min="3" max="3" width="19.54296875" customWidth="1"/>
    <col min="5" max="5" width="10.453125" customWidth="1"/>
    <col min="7" max="7" width="13.90625" customWidth="1"/>
    <col min="8" max="8" width="10.7265625" customWidth="1"/>
    <col min="10" max="12" width="11.90625" customWidth="1"/>
    <col min="15" max="15" width="17" customWidth="1"/>
    <col min="16" max="16" width="15.81640625" customWidth="1"/>
  </cols>
  <sheetData>
    <row r="1" spans="1:22" x14ac:dyDescent="0.35">
      <c r="A1" t="s">
        <v>73</v>
      </c>
      <c r="N1" t="s">
        <v>74</v>
      </c>
    </row>
    <row r="2" spans="1:22" x14ac:dyDescent="0.35">
      <c r="B2" t="s">
        <v>0</v>
      </c>
      <c r="C2" t="s">
        <v>1</v>
      </c>
      <c r="E2" t="s">
        <v>9</v>
      </c>
      <c r="F2" t="s">
        <v>10</v>
      </c>
      <c r="G2" t="s">
        <v>23</v>
      </c>
      <c r="H2" t="s">
        <v>24</v>
      </c>
      <c r="I2" t="s">
        <v>25</v>
      </c>
      <c r="J2" t="s">
        <v>12</v>
      </c>
      <c r="K2" t="s">
        <v>78</v>
      </c>
      <c r="O2" t="s">
        <v>0</v>
      </c>
      <c r="P2" t="s">
        <v>1</v>
      </c>
      <c r="R2" t="s">
        <v>9</v>
      </c>
      <c r="S2" t="s">
        <v>10</v>
      </c>
      <c r="T2" t="s">
        <v>23</v>
      </c>
      <c r="U2" t="s">
        <v>24</v>
      </c>
      <c r="V2" t="s">
        <v>25</v>
      </c>
    </row>
    <row r="3" spans="1:22" x14ac:dyDescent="0.35">
      <c r="B3" t="s">
        <v>72</v>
      </c>
      <c r="C3" t="s">
        <v>71</v>
      </c>
      <c r="D3" t="s">
        <v>4</v>
      </c>
      <c r="E3">
        <v>0.83471799999999996</v>
      </c>
      <c r="O3" t="s">
        <v>3</v>
      </c>
      <c r="P3" t="s">
        <v>71</v>
      </c>
      <c r="Q3" t="s">
        <v>4</v>
      </c>
      <c r="S3" s="3">
        <v>0</v>
      </c>
      <c r="T3">
        <f t="shared" ref="T3:T8" si="0">(R3*S3)-1</f>
        <v>-1</v>
      </c>
      <c r="U3" t="str">
        <f t="shared" ref="U3:U8" si="1">IF(T3&gt;0.05,"Y","N")</f>
        <v>N</v>
      </c>
      <c r="V3">
        <f t="shared" ref="V3:V8" si="2">IF(U3="N",0,IFERROR(25*0.1*MAX(T3/(S3-1),0),0))</f>
        <v>0</v>
      </c>
    </row>
    <row r="4" spans="1:22" x14ac:dyDescent="0.35">
      <c r="D4" t="s">
        <v>5</v>
      </c>
      <c r="E4">
        <v>0.127967</v>
      </c>
      <c r="Q4" t="s">
        <v>5</v>
      </c>
      <c r="S4" s="3">
        <v>0</v>
      </c>
      <c r="T4">
        <f t="shared" si="0"/>
        <v>-1</v>
      </c>
      <c r="U4" t="str">
        <f t="shared" si="1"/>
        <v>N</v>
      </c>
      <c r="V4">
        <f t="shared" si="2"/>
        <v>0</v>
      </c>
    </row>
    <row r="5" spans="1:22" x14ac:dyDescent="0.35">
      <c r="D5" t="s">
        <v>6</v>
      </c>
      <c r="E5">
        <v>3.7315000000000001E-2</v>
      </c>
      <c r="Q5" s="2" t="s">
        <v>6</v>
      </c>
      <c r="S5">
        <v>0</v>
      </c>
      <c r="T5">
        <f t="shared" si="0"/>
        <v>-1</v>
      </c>
      <c r="U5" t="str">
        <f t="shared" si="1"/>
        <v>N</v>
      </c>
      <c r="V5">
        <f t="shared" si="2"/>
        <v>0</v>
      </c>
    </row>
    <row r="6" spans="1:22" x14ac:dyDescent="0.35">
      <c r="D6" t="s">
        <v>7</v>
      </c>
      <c r="E6">
        <f xml:space="preserve"> E3+E4</f>
        <v>0.96268500000000001</v>
      </c>
      <c r="Q6" t="s">
        <v>7</v>
      </c>
      <c r="S6" s="4">
        <v>0</v>
      </c>
      <c r="T6">
        <f t="shared" si="0"/>
        <v>-1</v>
      </c>
      <c r="U6" t="str">
        <f t="shared" si="1"/>
        <v>N</v>
      </c>
      <c r="V6">
        <f t="shared" si="2"/>
        <v>0</v>
      </c>
    </row>
    <row r="7" spans="1:22" x14ac:dyDescent="0.35">
      <c r="D7" t="s">
        <v>8</v>
      </c>
      <c r="E7">
        <f xml:space="preserve"> E4+E5</f>
        <v>0.16528199999999998</v>
      </c>
      <c r="Q7" t="s">
        <v>8</v>
      </c>
      <c r="S7" s="4">
        <v>0</v>
      </c>
      <c r="T7">
        <f t="shared" si="0"/>
        <v>-1</v>
      </c>
      <c r="U7" t="str">
        <f t="shared" si="1"/>
        <v>N</v>
      </c>
      <c r="V7">
        <f t="shared" si="2"/>
        <v>0</v>
      </c>
    </row>
    <row r="8" spans="1:22" x14ac:dyDescent="0.35">
      <c r="D8" t="s">
        <v>11</v>
      </c>
      <c r="E8">
        <f xml:space="preserve"> E3+E5</f>
        <v>0.87203299999999995</v>
      </c>
      <c r="Q8" t="s">
        <v>11</v>
      </c>
      <c r="S8" s="4">
        <v>0</v>
      </c>
      <c r="T8">
        <f t="shared" si="0"/>
        <v>-1</v>
      </c>
      <c r="U8" t="str">
        <f t="shared" si="1"/>
        <v>N</v>
      </c>
      <c r="V8">
        <f t="shared" si="2"/>
        <v>0</v>
      </c>
    </row>
    <row r="10" spans="1:22" x14ac:dyDescent="0.35">
      <c r="B10" t="s">
        <v>2</v>
      </c>
      <c r="C10" t="s">
        <v>3</v>
      </c>
      <c r="D10" t="s">
        <v>4</v>
      </c>
      <c r="E10">
        <v>0.45056000000000002</v>
      </c>
      <c r="F10" s="3">
        <v>2.72</v>
      </c>
      <c r="G10">
        <f t="shared" ref="G10:G15" si="3">(E10*F10)-1</f>
        <v>0.22552320000000003</v>
      </c>
      <c r="H10" t="str">
        <f>IF(G10&gt;0.05,"Y","N")</f>
        <v>Y</v>
      </c>
      <c r="I10">
        <f t="shared" ref="I10:I15" si="4">IF(H10="N",0,IFERROR(25*0.1*MAX(G10/(F10-1),0),0))</f>
        <v>0.32779534883720929</v>
      </c>
      <c r="J10" t="s">
        <v>79</v>
      </c>
      <c r="K10" s="5">
        <v>0.33</v>
      </c>
      <c r="M10" s="1"/>
      <c r="N10" s="1"/>
      <c r="O10" t="s">
        <v>38</v>
      </c>
      <c r="P10" t="s">
        <v>22</v>
      </c>
      <c r="Q10" t="s">
        <v>4</v>
      </c>
      <c r="S10" s="3">
        <v>0</v>
      </c>
      <c r="T10">
        <f t="shared" ref="T10:T15" si="5">(R10*S10)-1</f>
        <v>-1</v>
      </c>
      <c r="U10" t="str">
        <f t="shared" ref="U10:U15" si="6">IF(T10&gt;0.05,"Y","N")</f>
        <v>N</v>
      </c>
      <c r="V10">
        <f t="shared" ref="V10:V15" si="7">IF(U10="N",0,IFERROR(25*0.1*MAX(T10/(S10-1),0),0))</f>
        <v>0</v>
      </c>
    </row>
    <row r="11" spans="1:22" x14ac:dyDescent="0.35">
      <c r="D11" t="s">
        <v>5</v>
      </c>
      <c r="E11">
        <v>0.25949</v>
      </c>
      <c r="F11" s="3">
        <v>3.06</v>
      </c>
      <c r="G11">
        <f t="shared" si="3"/>
        <v>-0.20596059999999994</v>
      </c>
      <c r="H11" t="str">
        <f t="shared" ref="H11:H29" si="8">IF(G11&gt;0.05,"Y","N")</f>
        <v>N</v>
      </c>
      <c r="I11">
        <f t="shared" si="4"/>
        <v>0</v>
      </c>
      <c r="J11" t="s">
        <v>80</v>
      </c>
      <c r="K11">
        <v>0</v>
      </c>
      <c r="Q11" t="s">
        <v>5</v>
      </c>
      <c r="S11" s="3">
        <v>0</v>
      </c>
      <c r="T11">
        <f t="shared" si="5"/>
        <v>-1</v>
      </c>
      <c r="U11" t="str">
        <f t="shared" si="6"/>
        <v>N</v>
      </c>
      <c r="V11">
        <f t="shared" si="7"/>
        <v>0</v>
      </c>
    </row>
    <row r="12" spans="1:22" x14ac:dyDescent="0.35">
      <c r="D12" s="2" t="s">
        <v>6</v>
      </c>
      <c r="E12">
        <v>0.28994999999999999</v>
      </c>
      <c r="F12" s="3">
        <v>3.02</v>
      </c>
      <c r="G12">
        <f t="shared" si="3"/>
        <v>-0.12435099999999999</v>
      </c>
      <c r="H12" t="str">
        <f t="shared" si="8"/>
        <v>N</v>
      </c>
      <c r="I12">
        <f t="shared" si="4"/>
        <v>0</v>
      </c>
      <c r="J12" t="s">
        <v>80</v>
      </c>
      <c r="K12">
        <v>0</v>
      </c>
      <c r="Q12" s="2" t="s">
        <v>6</v>
      </c>
      <c r="S12">
        <v>0</v>
      </c>
      <c r="T12">
        <f t="shared" si="5"/>
        <v>-1</v>
      </c>
      <c r="U12" t="str">
        <f t="shared" si="6"/>
        <v>N</v>
      </c>
      <c r="V12">
        <f t="shared" si="7"/>
        <v>0</v>
      </c>
    </row>
    <row r="13" spans="1:22" x14ac:dyDescent="0.35">
      <c r="D13" t="s">
        <v>7</v>
      </c>
      <c r="E13">
        <f xml:space="preserve"> E10+E11</f>
        <v>0.71005000000000007</v>
      </c>
      <c r="F13" s="4">
        <v>1.4</v>
      </c>
      <c r="G13">
        <f t="shared" si="3"/>
        <v>-5.9299999999999908E-3</v>
      </c>
      <c r="H13" t="str">
        <f t="shared" si="8"/>
        <v>N</v>
      </c>
      <c r="I13">
        <f t="shared" si="4"/>
        <v>0</v>
      </c>
      <c r="J13" t="s">
        <v>80</v>
      </c>
      <c r="K13">
        <v>0</v>
      </c>
      <c r="Q13" t="s">
        <v>7</v>
      </c>
      <c r="S13" s="4">
        <v>0</v>
      </c>
      <c r="T13">
        <f t="shared" si="5"/>
        <v>-1</v>
      </c>
      <c r="U13" t="str">
        <f t="shared" si="6"/>
        <v>N</v>
      </c>
      <c r="V13">
        <f t="shared" si="7"/>
        <v>0</v>
      </c>
    </row>
    <row r="14" spans="1:22" x14ac:dyDescent="0.35">
      <c r="D14" t="s">
        <v>8</v>
      </c>
      <c r="E14">
        <f>E11+E12</f>
        <v>0.54943999999999993</v>
      </c>
      <c r="F14" s="4">
        <v>1.4444444444444444</v>
      </c>
      <c r="G14">
        <f t="shared" si="3"/>
        <v>-0.20636444444444457</v>
      </c>
      <c r="H14" t="str">
        <f t="shared" si="8"/>
        <v>N</v>
      </c>
      <c r="I14">
        <f t="shared" si="4"/>
        <v>0</v>
      </c>
      <c r="J14" t="s">
        <v>80</v>
      </c>
      <c r="K14">
        <v>0</v>
      </c>
      <c r="Q14" t="s">
        <v>8</v>
      </c>
      <c r="S14" s="4">
        <v>0</v>
      </c>
      <c r="T14">
        <f t="shared" si="5"/>
        <v>-1</v>
      </c>
      <c r="U14" t="str">
        <f t="shared" si="6"/>
        <v>N</v>
      </c>
      <c r="V14">
        <f t="shared" si="7"/>
        <v>0</v>
      </c>
    </row>
    <row r="15" spans="1:22" x14ac:dyDescent="0.35">
      <c r="D15" t="s">
        <v>11</v>
      </c>
      <c r="E15">
        <f>E10+E12</f>
        <v>0.74051</v>
      </c>
      <c r="F15" s="4">
        <v>1.3636363636363635</v>
      </c>
      <c r="G15">
        <f t="shared" si="3"/>
        <v>9.7863636363635376E-3</v>
      </c>
      <c r="H15" t="str">
        <f t="shared" si="8"/>
        <v>N</v>
      </c>
      <c r="I15">
        <f t="shared" si="4"/>
        <v>0</v>
      </c>
      <c r="J15" t="s">
        <v>80</v>
      </c>
      <c r="K15">
        <v>0</v>
      </c>
      <c r="Q15" t="s">
        <v>11</v>
      </c>
      <c r="S15" s="4">
        <v>0</v>
      </c>
      <c r="T15">
        <f t="shared" si="5"/>
        <v>-1</v>
      </c>
      <c r="U15" t="str">
        <f t="shared" si="6"/>
        <v>N</v>
      </c>
      <c r="V15">
        <f t="shared" si="7"/>
        <v>0</v>
      </c>
    </row>
    <row r="17" spans="2:22" x14ac:dyDescent="0.35">
      <c r="B17" t="s">
        <v>21</v>
      </c>
      <c r="C17" t="s">
        <v>22</v>
      </c>
      <c r="D17" t="s">
        <v>4</v>
      </c>
      <c r="E17" s="2">
        <v>0.74169799999999997</v>
      </c>
      <c r="F17" s="1" t="s">
        <v>14</v>
      </c>
      <c r="G17">
        <f t="shared" ref="G17:G22" si="9">(E17*F17)-1</f>
        <v>0.39439223999999995</v>
      </c>
      <c r="H17" t="str">
        <f t="shared" si="8"/>
        <v>Y</v>
      </c>
      <c r="I17">
        <f t="shared" ref="I17:I22" si="10">IF(H17="N",0,IFERROR(25*0.1*MAX(G17/(F17-1),0),0))</f>
        <v>1.1204324999999999</v>
      </c>
      <c r="J17" t="s">
        <v>79</v>
      </c>
      <c r="K17" s="5">
        <v>1.1200000000000001</v>
      </c>
      <c r="O17" t="s">
        <v>21</v>
      </c>
      <c r="P17" t="s">
        <v>37</v>
      </c>
      <c r="Q17" t="s">
        <v>4</v>
      </c>
      <c r="S17" s="3">
        <v>0</v>
      </c>
      <c r="T17">
        <f t="shared" ref="T17:T22" si="11">(R17*S17)-1</f>
        <v>-1</v>
      </c>
      <c r="U17" t="str">
        <f t="shared" ref="U17:U22" si="12">IF(T17&gt;0.05,"Y","N")</f>
        <v>N</v>
      </c>
      <c r="V17">
        <f t="shared" ref="V17:V22" si="13">IF(U17="N",0,IFERROR(25*0.1*MAX(T17/(S17-1),0),0))</f>
        <v>0</v>
      </c>
    </row>
    <row r="18" spans="2:22" x14ac:dyDescent="0.35">
      <c r="D18" t="s">
        <v>5</v>
      </c>
      <c r="E18">
        <v>0.17478099999999999</v>
      </c>
      <c r="F18" s="1" t="s">
        <v>15</v>
      </c>
      <c r="G18">
        <f t="shared" si="9"/>
        <v>-0.36729277999999999</v>
      </c>
      <c r="H18" t="str">
        <f t="shared" si="8"/>
        <v>N</v>
      </c>
      <c r="I18">
        <f t="shared" si="10"/>
        <v>0</v>
      </c>
      <c r="J18" t="s">
        <v>80</v>
      </c>
      <c r="K18">
        <v>0</v>
      </c>
      <c r="Q18" t="s">
        <v>5</v>
      </c>
      <c r="S18" s="3">
        <v>0</v>
      </c>
      <c r="T18">
        <f t="shared" si="11"/>
        <v>-1</v>
      </c>
      <c r="U18" t="str">
        <f t="shared" si="12"/>
        <v>N</v>
      </c>
      <c r="V18">
        <f t="shared" si="13"/>
        <v>0</v>
      </c>
    </row>
    <row r="19" spans="2:22" x14ac:dyDescent="0.35">
      <c r="D19" s="2" t="s">
        <v>6</v>
      </c>
      <c r="E19">
        <v>8.3520999999999998E-2</v>
      </c>
      <c r="F19" s="1" t="s">
        <v>16</v>
      </c>
      <c r="G19">
        <f t="shared" si="9"/>
        <v>-0.61162735000000001</v>
      </c>
      <c r="H19" t="str">
        <f t="shared" si="8"/>
        <v>N</v>
      </c>
      <c r="I19">
        <f t="shared" si="10"/>
        <v>0</v>
      </c>
      <c r="J19" t="s">
        <v>80</v>
      </c>
      <c r="K19">
        <v>0</v>
      </c>
      <c r="Q19" s="2" t="s">
        <v>6</v>
      </c>
      <c r="S19">
        <v>0</v>
      </c>
      <c r="T19">
        <f t="shared" si="11"/>
        <v>-1</v>
      </c>
      <c r="U19" t="str">
        <f t="shared" si="12"/>
        <v>N</v>
      </c>
      <c r="V19">
        <f t="shared" si="13"/>
        <v>0</v>
      </c>
    </row>
    <row r="20" spans="2:22" x14ac:dyDescent="0.35">
      <c r="D20" t="s">
        <v>7</v>
      </c>
      <c r="E20">
        <f>E17+E18</f>
        <v>0.91647899999999993</v>
      </c>
      <c r="F20" s="4">
        <v>1.2</v>
      </c>
      <c r="G20">
        <f t="shared" si="9"/>
        <v>9.977479999999983E-2</v>
      </c>
      <c r="H20" t="str">
        <f t="shared" si="8"/>
        <v>Y</v>
      </c>
      <c r="I20">
        <f t="shared" si="10"/>
        <v>1.2471849999999982</v>
      </c>
      <c r="J20" t="s">
        <v>80</v>
      </c>
      <c r="K20">
        <v>0</v>
      </c>
      <c r="Q20" t="s">
        <v>7</v>
      </c>
      <c r="S20" s="4">
        <v>0</v>
      </c>
      <c r="T20">
        <f t="shared" si="11"/>
        <v>-1</v>
      </c>
      <c r="U20" t="str">
        <f t="shared" si="12"/>
        <v>N</v>
      </c>
      <c r="V20">
        <f t="shared" si="13"/>
        <v>0</v>
      </c>
    </row>
    <row r="21" spans="2:22" x14ac:dyDescent="0.35">
      <c r="D21" t="s">
        <v>8</v>
      </c>
      <c r="E21">
        <f>E18+E19</f>
        <v>0.25830199999999998</v>
      </c>
      <c r="F21" s="4">
        <v>1.9090909090909092</v>
      </c>
      <c r="G21">
        <f t="shared" si="9"/>
        <v>-0.50687800000000005</v>
      </c>
      <c r="H21" t="str">
        <f t="shared" si="8"/>
        <v>N</v>
      </c>
      <c r="I21">
        <f t="shared" si="10"/>
        <v>0</v>
      </c>
      <c r="J21" t="s">
        <v>80</v>
      </c>
      <c r="K21">
        <v>0</v>
      </c>
      <c r="Q21" t="s">
        <v>8</v>
      </c>
      <c r="S21" s="4">
        <v>0</v>
      </c>
      <c r="T21">
        <f t="shared" si="11"/>
        <v>-1</v>
      </c>
      <c r="U21" t="str">
        <f t="shared" si="12"/>
        <v>N</v>
      </c>
      <c r="V21">
        <f t="shared" si="13"/>
        <v>0</v>
      </c>
    </row>
    <row r="22" spans="2:22" x14ac:dyDescent="0.35">
      <c r="D22" t="s">
        <v>11</v>
      </c>
      <c r="E22">
        <f>E17+E19</f>
        <v>0.82521899999999992</v>
      </c>
      <c r="F22" s="4">
        <v>1.2857142857142858</v>
      </c>
      <c r="G22">
        <f t="shared" si="9"/>
        <v>6.0995857142857046E-2</v>
      </c>
      <c r="H22" t="str">
        <f t="shared" si="8"/>
        <v>Y</v>
      </c>
      <c r="I22">
        <f t="shared" si="10"/>
        <v>0.53371374999999899</v>
      </c>
      <c r="J22" t="s">
        <v>80</v>
      </c>
      <c r="K22">
        <v>0</v>
      </c>
      <c r="Q22" t="s">
        <v>11</v>
      </c>
      <c r="S22" s="4">
        <v>0</v>
      </c>
      <c r="T22">
        <f t="shared" si="11"/>
        <v>-1</v>
      </c>
      <c r="U22" t="str">
        <f t="shared" si="12"/>
        <v>N</v>
      </c>
      <c r="V22">
        <f t="shared" si="13"/>
        <v>0</v>
      </c>
    </row>
    <row r="24" spans="2:22" x14ac:dyDescent="0.35">
      <c r="B24" t="s">
        <v>26</v>
      </c>
      <c r="C24" t="s">
        <v>27</v>
      </c>
      <c r="D24" t="s">
        <v>4</v>
      </c>
      <c r="E24">
        <v>0.42093199999999997</v>
      </c>
      <c r="F24" s="3">
        <v>2.08</v>
      </c>
      <c r="G24">
        <f t="shared" ref="G24:G29" si="14">(E24*F24)-1</f>
        <v>-0.12446144000000003</v>
      </c>
      <c r="H24" t="str">
        <f t="shared" si="8"/>
        <v>N</v>
      </c>
      <c r="I24">
        <f t="shared" ref="I24:I29" si="15">IF(H24="N",0,IFERROR(25*0.1*MAX(G24/(F24-1),0),0))</f>
        <v>0</v>
      </c>
      <c r="J24" t="s">
        <v>80</v>
      </c>
      <c r="K24">
        <v>0</v>
      </c>
      <c r="O24" t="s">
        <v>72</v>
      </c>
      <c r="P24" t="s">
        <v>2</v>
      </c>
      <c r="Q24" t="s">
        <v>4</v>
      </c>
      <c r="S24" s="3">
        <v>0</v>
      </c>
      <c r="T24">
        <f t="shared" ref="T24:T29" si="16">(R24*S24)-1</f>
        <v>-1</v>
      </c>
      <c r="U24" t="str">
        <f t="shared" ref="U24:U29" si="17">IF(T24&gt;0.05,"Y","N")</f>
        <v>N</v>
      </c>
      <c r="V24">
        <f t="shared" ref="V24:V29" si="18">IF(U24="N",0,IFERROR(25*0.1*MAX(T24/(S24-1),0),0))</f>
        <v>0</v>
      </c>
    </row>
    <row r="25" spans="2:22" x14ac:dyDescent="0.35">
      <c r="D25" t="s">
        <v>5</v>
      </c>
      <c r="E25">
        <v>0.26281399999999999</v>
      </c>
      <c r="F25" s="3">
        <v>3.26</v>
      </c>
      <c r="G25">
        <f t="shared" si="14"/>
        <v>-0.14322636000000011</v>
      </c>
      <c r="H25" t="str">
        <f t="shared" si="8"/>
        <v>N</v>
      </c>
      <c r="I25">
        <f t="shared" si="15"/>
        <v>0</v>
      </c>
      <c r="J25" t="s">
        <v>80</v>
      </c>
      <c r="K25">
        <v>0</v>
      </c>
      <c r="Q25" t="s">
        <v>5</v>
      </c>
      <c r="S25" s="3">
        <v>0</v>
      </c>
      <c r="T25">
        <f t="shared" si="16"/>
        <v>-1</v>
      </c>
      <c r="U25" t="str">
        <f t="shared" si="17"/>
        <v>N</v>
      </c>
      <c r="V25">
        <f t="shared" si="18"/>
        <v>0</v>
      </c>
    </row>
    <row r="26" spans="2:22" x14ac:dyDescent="0.35">
      <c r="D26" s="2" t="s">
        <v>6</v>
      </c>
      <c r="E26">
        <v>0.31625399999999998</v>
      </c>
      <c r="F26">
        <v>4.25</v>
      </c>
      <c r="G26">
        <f t="shared" si="14"/>
        <v>0.34407949999999987</v>
      </c>
      <c r="H26" t="str">
        <f t="shared" si="8"/>
        <v>Y</v>
      </c>
      <c r="I26">
        <f t="shared" si="15"/>
        <v>0.26467653846153838</v>
      </c>
      <c r="J26" t="s">
        <v>79</v>
      </c>
      <c r="Q26" s="2" t="s">
        <v>6</v>
      </c>
      <c r="S26">
        <v>0</v>
      </c>
      <c r="T26">
        <f t="shared" si="16"/>
        <v>-1</v>
      </c>
      <c r="U26" t="str">
        <f t="shared" si="17"/>
        <v>N</v>
      </c>
      <c r="V26">
        <f t="shared" si="18"/>
        <v>0</v>
      </c>
    </row>
    <row r="27" spans="2:22" x14ac:dyDescent="0.35">
      <c r="D27" t="s">
        <v>7</v>
      </c>
      <c r="E27">
        <f>E24+E25</f>
        <v>0.68374599999999996</v>
      </c>
      <c r="F27" s="4">
        <v>1.25</v>
      </c>
      <c r="G27">
        <f t="shared" si="14"/>
        <v>-0.14531749999999999</v>
      </c>
      <c r="H27" t="str">
        <f t="shared" si="8"/>
        <v>N</v>
      </c>
      <c r="I27">
        <f t="shared" si="15"/>
        <v>0</v>
      </c>
      <c r="J27" t="s">
        <v>80</v>
      </c>
      <c r="K27">
        <v>0</v>
      </c>
      <c r="Q27" t="s">
        <v>7</v>
      </c>
      <c r="S27" s="4">
        <v>0</v>
      </c>
      <c r="T27">
        <f t="shared" si="16"/>
        <v>-1</v>
      </c>
      <c r="U27" t="str">
        <f t="shared" si="17"/>
        <v>N</v>
      </c>
      <c r="V27">
        <f t="shared" si="18"/>
        <v>0</v>
      </c>
    </row>
    <row r="28" spans="2:22" x14ac:dyDescent="0.35">
      <c r="D28" t="s">
        <v>8</v>
      </c>
      <c r="E28">
        <f>E25+E26</f>
        <v>0.57906799999999992</v>
      </c>
      <c r="F28" s="4">
        <v>1.7272727272727273</v>
      </c>
      <c r="G28">
        <f t="shared" si="14"/>
        <v>2.0836363636345112E-4</v>
      </c>
      <c r="H28" t="str">
        <f t="shared" si="8"/>
        <v>N</v>
      </c>
      <c r="I28">
        <f t="shared" si="15"/>
        <v>0</v>
      </c>
      <c r="J28" t="s">
        <v>80</v>
      </c>
      <c r="K28">
        <v>0</v>
      </c>
      <c r="Q28" t="s">
        <v>8</v>
      </c>
      <c r="S28" s="4">
        <v>0</v>
      </c>
      <c r="T28">
        <f t="shared" si="16"/>
        <v>-1</v>
      </c>
      <c r="U28" t="str">
        <f t="shared" si="17"/>
        <v>N</v>
      </c>
      <c r="V28">
        <f t="shared" si="18"/>
        <v>0</v>
      </c>
    </row>
    <row r="29" spans="2:22" x14ac:dyDescent="0.35">
      <c r="D29" t="s">
        <v>11</v>
      </c>
      <c r="E29">
        <f>E24+E26</f>
        <v>0.7371859999999999</v>
      </c>
      <c r="F29" s="4">
        <v>1.3333333333333333</v>
      </c>
      <c r="G29">
        <f t="shared" si="14"/>
        <v>-1.7085333333333508E-2</v>
      </c>
      <c r="H29" t="str">
        <f t="shared" si="8"/>
        <v>N</v>
      </c>
      <c r="I29">
        <f t="shared" si="15"/>
        <v>0</v>
      </c>
      <c r="J29" t="s">
        <v>80</v>
      </c>
      <c r="K29">
        <v>0</v>
      </c>
      <c r="Q29" t="s">
        <v>11</v>
      </c>
      <c r="S29" s="4">
        <v>0</v>
      </c>
      <c r="T29">
        <f t="shared" si="16"/>
        <v>-1</v>
      </c>
      <c r="U29" t="str">
        <f t="shared" si="17"/>
        <v>N</v>
      </c>
      <c r="V29">
        <f t="shared" si="18"/>
        <v>0</v>
      </c>
    </row>
    <row r="31" spans="2:22" x14ac:dyDescent="0.35">
      <c r="B31" t="s">
        <v>31</v>
      </c>
      <c r="C31" t="s">
        <v>32</v>
      </c>
      <c r="D31" t="s">
        <v>4</v>
      </c>
      <c r="E31">
        <v>0.14758499999999999</v>
      </c>
      <c r="F31" s="3">
        <v>0</v>
      </c>
      <c r="G31">
        <f t="shared" ref="G31:G36" si="19">(E31*F31)-1</f>
        <v>-1</v>
      </c>
      <c r="H31" t="str">
        <f t="shared" ref="H31:H36" si="20">IF(G31&gt;0.05,"Y","N")</f>
        <v>N</v>
      </c>
      <c r="I31">
        <f t="shared" ref="I31:I36" si="21">IF(H31="N",0,IFERROR(25*0.1*MAX(G31/(F31-1),0),0))</f>
        <v>0</v>
      </c>
      <c r="O31" t="s">
        <v>75</v>
      </c>
      <c r="P31" t="s">
        <v>31</v>
      </c>
      <c r="Q31" t="s">
        <v>4</v>
      </c>
      <c r="S31" s="3">
        <v>0</v>
      </c>
      <c r="T31">
        <f t="shared" ref="T31:T36" si="22">(R31*S31)-1</f>
        <v>-1</v>
      </c>
      <c r="U31" t="str">
        <f t="shared" ref="U31:U36" si="23">IF(T31&gt;0.05,"Y","N")</f>
        <v>N</v>
      </c>
      <c r="V31">
        <f t="shared" ref="V31:V36" si="24">IF(U31="N",0,IFERROR(25*0.1*MAX(T31/(S31-1),0),0))</f>
        <v>0</v>
      </c>
    </row>
    <row r="32" spans="2:22" x14ac:dyDescent="0.35">
      <c r="D32" t="s">
        <v>5</v>
      </c>
      <c r="E32">
        <v>0.22885</v>
      </c>
      <c r="F32" s="3">
        <v>0</v>
      </c>
      <c r="G32">
        <f t="shared" si="19"/>
        <v>-1</v>
      </c>
      <c r="H32" t="str">
        <f t="shared" si="20"/>
        <v>N</v>
      </c>
      <c r="I32">
        <f t="shared" si="21"/>
        <v>0</v>
      </c>
      <c r="Q32" t="s">
        <v>5</v>
      </c>
      <c r="S32" s="3">
        <v>0</v>
      </c>
      <c r="T32">
        <f t="shared" si="22"/>
        <v>-1</v>
      </c>
      <c r="U32" t="str">
        <f t="shared" si="23"/>
        <v>N</v>
      </c>
      <c r="V32">
        <f t="shared" si="24"/>
        <v>0</v>
      </c>
    </row>
    <row r="33" spans="2:22" x14ac:dyDescent="0.35">
      <c r="D33" s="2" t="s">
        <v>6</v>
      </c>
      <c r="E33">
        <v>0.62356500000000004</v>
      </c>
      <c r="F33">
        <v>0</v>
      </c>
      <c r="G33">
        <f t="shared" si="19"/>
        <v>-1</v>
      </c>
      <c r="H33" t="str">
        <f t="shared" si="20"/>
        <v>N</v>
      </c>
      <c r="I33">
        <f t="shared" si="21"/>
        <v>0</v>
      </c>
      <c r="Q33" s="2" t="s">
        <v>6</v>
      </c>
      <c r="S33">
        <v>0</v>
      </c>
      <c r="T33">
        <f t="shared" si="22"/>
        <v>-1</v>
      </c>
      <c r="U33" t="str">
        <f t="shared" si="23"/>
        <v>N</v>
      </c>
      <c r="V33">
        <f t="shared" si="24"/>
        <v>0</v>
      </c>
    </row>
    <row r="34" spans="2:22" x14ac:dyDescent="0.35">
      <c r="D34" t="s">
        <v>7</v>
      </c>
      <c r="E34">
        <f>E31+E32</f>
        <v>0.37643499999999996</v>
      </c>
      <c r="F34" s="4">
        <v>0</v>
      </c>
      <c r="G34">
        <f t="shared" si="19"/>
        <v>-1</v>
      </c>
      <c r="H34" t="str">
        <f t="shared" si="20"/>
        <v>N</v>
      </c>
      <c r="I34">
        <f t="shared" si="21"/>
        <v>0</v>
      </c>
      <c r="Q34" t="s">
        <v>7</v>
      </c>
      <c r="S34" s="4">
        <v>0</v>
      </c>
      <c r="T34">
        <f t="shared" si="22"/>
        <v>-1</v>
      </c>
      <c r="U34" t="str">
        <f t="shared" si="23"/>
        <v>N</v>
      </c>
      <c r="V34">
        <f t="shared" si="24"/>
        <v>0</v>
      </c>
    </row>
    <row r="35" spans="2:22" x14ac:dyDescent="0.35">
      <c r="D35" t="s">
        <v>8</v>
      </c>
      <c r="E35">
        <f>E32+E33</f>
        <v>0.85241500000000003</v>
      </c>
      <c r="F35" s="4">
        <v>0</v>
      </c>
      <c r="G35">
        <f t="shared" si="19"/>
        <v>-1</v>
      </c>
      <c r="H35" t="str">
        <f t="shared" si="20"/>
        <v>N</v>
      </c>
      <c r="I35">
        <f t="shared" si="21"/>
        <v>0</v>
      </c>
      <c r="Q35" t="s">
        <v>8</v>
      </c>
      <c r="S35" s="4">
        <v>0</v>
      </c>
      <c r="T35">
        <f t="shared" si="22"/>
        <v>-1</v>
      </c>
      <c r="U35" t="str">
        <f t="shared" si="23"/>
        <v>N</v>
      </c>
      <c r="V35">
        <f t="shared" si="24"/>
        <v>0</v>
      </c>
    </row>
    <row r="36" spans="2:22" x14ac:dyDescent="0.35">
      <c r="D36" t="s">
        <v>11</v>
      </c>
      <c r="E36">
        <f>E31+E33</f>
        <v>0.77115</v>
      </c>
      <c r="F36" s="4">
        <v>0</v>
      </c>
      <c r="G36">
        <f t="shared" si="19"/>
        <v>-1</v>
      </c>
      <c r="H36" t="str">
        <f t="shared" si="20"/>
        <v>N</v>
      </c>
      <c r="I36">
        <f t="shared" si="21"/>
        <v>0</v>
      </c>
      <c r="Q36" t="s">
        <v>11</v>
      </c>
      <c r="S36" s="4">
        <v>0</v>
      </c>
      <c r="T36">
        <f t="shared" si="22"/>
        <v>-1</v>
      </c>
      <c r="U36" t="str">
        <f t="shared" si="23"/>
        <v>N</v>
      </c>
      <c r="V36">
        <f t="shared" si="24"/>
        <v>0</v>
      </c>
    </row>
    <row r="38" spans="2:22" x14ac:dyDescent="0.35">
      <c r="B38" t="s">
        <v>33</v>
      </c>
      <c r="C38" t="s">
        <v>34</v>
      </c>
      <c r="D38" t="s">
        <v>4</v>
      </c>
      <c r="E38">
        <v>0.208592</v>
      </c>
      <c r="F38" s="3">
        <v>0</v>
      </c>
      <c r="G38">
        <f t="shared" ref="G38:G43" si="25">(E38*F38)-1</f>
        <v>-1</v>
      </c>
      <c r="H38" t="str">
        <f t="shared" ref="H38:H43" si="26">IF(G38&gt;0.05,"Y","N")</f>
        <v>N</v>
      </c>
      <c r="I38">
        <f t="shared" ref="I38:I43" si="27">IF(H38="N",0,IFERROR(25*0.1*MAX(G38/(F38-1),0),0))</f>
        <v>0</v>
      </c>
      <c r="O38" t="s">
        <v>32</v>
      </c>
      <c r="P38" t="s">
        <v>36</v>
      </c>
      <c r="Q38" t="s">
        <v>4</v>
      </c>
      <c r="S38" s="3">
        <v>0</v>
      </c>
      <c r="T38">
        <f t="shared" ref="T38:T43" si="28">(R38*S38)-1</f>
        <v>-1</v>
      </c>
      <c r="U38" t="str">
        <f t="shared" ref="U38:U43" si="29">IF(T38&gt;0.05,"Y","N")</f>
        <v>N</v>
      </c>
      <c r="V38">
        <f t="shared" ref="V38:V43" si="30">IF(U38="N",0,IFERROR(25*0.1*MAX(T38/(S38-1),0),0))</f>
        <v>0</v>
      </c>
    </row>
    <row r="39" spans="2:22" x14ac:dyDescent="0.35">
      <c r="D39" t="s">
        <v>5</v>
      </c>
      <c r="E39">
        <v>0.24940699999999999</v>
      </c>
      <c r="F39" s="3">
        <v>0</v>
      </c>
      <c r="G39">
        <f t="shared" si="25"/>
        <v>-1</v>
      </c>
      <c r="H39" t="str">
        <f t="shared" si="26"/>
        <v>N</v>
      </c>
      <c r="I39">
        <f t="shared" si="27"/>
        <v>0</v>
      </c>
      <c r="Q39" t="s">
        <v>5</v>
      </c>
      <c r="S39" s="3">
        <v>0</v>
      </c>
      <c r="T39">
        <f t="shared" si="28"/>
        <v>-1</v>
      </c>
      <c r="U39" t="str">
        <f t="shared" si="29"/>
        <v>N</v>
      </c>
      <c r="V39">
        <f t="shared" si="30"/>
        <v>0</v>
      </c>
    </row>
    <row r="40" spans="2:22" x14ac:dyDescent="0.35">
      <c r="D40" s="2" t="s">
        <v>6</v>
      </c>
      <c r="E40">
        <v>0.54200099999999996</v>
      </c>
      <c r="F40">
        <v>0</v>
      </c>
      <c r="G40">
        <f t="shared" si="25"/>
        <v>-1</v>
      </c>
      <c r="H40" t="str">
        <f t="shared" si="26"/>
        <v>N</v>
      </c>
      <c r="I40">
        <f t="shared" si="27"/>
        <v>0</v>
      </c>
      <c r="Q40" s="2" t="s">
        <v>6</v>
      </c>
      <c r="S40">
        <v>0</v>
      </c>
      <c r="T40">
        <f t="shared" si="28"/>
        <v>-1</v>
      </c>
      <c r="U40" t="str">
        <f t="shared" si="29"/>
        <v>N</v>
      </c>
      <c r="V40">
        <f t="shared" si="30"/>
        <v>0</v>
      </c>
    </row>
    <row r="41" spans="2:22" x14ac:dyDescent="0.35">
      <c r="D41" t="s">
        <v>7</v>
      </c>
      <c r="E41">
        <f>E38+E39</f>
        <v>0.45799899999999999</v>
      </c>
      <c r="F41" s="4">
        <v>0</v>
      </c>
      <c r="G41">
        <f t="shared" si="25"/>
        <v>-1</v>
      </c>
      <c r="H41" t="str">
        <f t="shared" si="26"/>
        <v>N</v>
      </c>
      <c r="I41">
        <f t="shared" si="27"/>
        <v>0</v>
      </c>
      <c r="Q41" t="s">
        <v>7</v>
      </c>
      <c r="S41" s="4">
        <v>0</v>
      </c>
      <c r="T41">
        <f t="shared" si="28"/>
        <v>-1</v>
      </c>
      <c r="U41" t="str">
        <f t="shared" si="29"/>
        <v>N</v>
      </c>
      <c r="V41">
        <f t="shared" si="30"/>
        <v>0</v>
      </c>
    </row>
    <row r="42" spans="2:22" x14ac:dyDescent="0.35">
      <c r="D42" t="s">
        <v>8</v>
      </c>
      <c r="E42">
        <f>E39+E40</f>
        <v>0.79140799999999989</v>
      </c>
      <c r="F42" s="4">
        <v>0</v>
      </c>
      <c r="G42">
        <f t="shared" si="25"/>
        <v>-1</v>
      </c>
      <c r="H42" t="str">
        <f t="shared" si="26"/>
        <v>N</v>
      </c>
      <c r="I42">
        <f t="shared" si="27"/>
        <v>0</v>
      </c>
      <c r="Q42" t="s">
        <v>8</v>
      </c>
      <c r="S42" s="4">
        <v>0</v>
      </c>
      <c r="T42">
        <f t="shared" si="28"/>
        <v>-1</v>
      </c>
      <c r="U42" t="str">
        <f t="shared" si="29"/>
        <v>N</v>
      </c>
      <c r="V42">
        <f t="shared" si="30"/>
        <v>0</v>
      </c>
    </row>
    <row r="43" spans="2:22" x14ac:dyDescent="0.35">
      <c r="D43" t="s">
        <v>11</v>
      </c>
      <c r="E43">
        <f>E38+E40</f>
        <v>0.75059299999999995</v>
      </c>
      <c r="F43" s="4">
        <v>0</v>
      </c>
      <c r="G43">
        <f t="shared" si="25"/>
        <v>-1</v>
      </c>
      <c r="H43" t="str">
        <f t="shared" si="26"/>
        <v>N</v>
      </c>
      <c r="I43">
        <f t="shared" si="27"/>
        <v>0</v>
      </c>
      <c r="Q43" t="s">
        <v>11</v>
      </c>
      <c r="S43" s="4">
        <v>0</v>
      </c>
      <c r="T43">
        <f t="shared" si="28"/>
        <v>-1</v>
      </c>
      <c r="U43" t="str">
        <f t="shared" si="29"/>
        <v>N</v>
      </c>
      <c r="V43">
        <f t="shared" si="30"/>
        <v>0</v>
      </c>
    </row>
    <row r="45" spans="2:22" x14ac:dyDescent="0.35">
      <c r="B45" t="s">
        <v>35</v>
      </c>
      <c r="C45" t="s">
        <v>36</v>
      </c>
      <c r="D45" t="s">
        <v>4</v>
      </c>
      <c r="E45">
        <v>0.44373099999999999</v>
      </c>
      <c r="F45" s="3">
        <v>1.66</v>
      </c>
      <c r="G45">
        <f t="shared" ref="G45:G50" si="31">(E45*F45)-1</f>
        <v>-0.26340654000000008</v>
      </c>
      <c r="H45" t="str">
        <f t="shared" ref="H45:H50" si="32">IF(G45&gt;0.05,"Y","N")</f>
        <v>N</v>
      </c>
      <c r="I45">
        <f t="shared" ref="I45:I50" si="33">IF(H45="N",0,IFERROR(25*0.1*MAX(G45/(F45-1),0),0))</f>
        <v>0</v>
      </c>
      <c r="J45" t="s">
        <v>80</v>
      </c>
      <c r="K45">
        <v>0</v>
      </c>
      <c r="O45" t="s">
        <v>34</v>
      </c>
      <c r="P45" t="s">
        <v>27</v>
      </c>
      <c r="Q45" t="s">
        <v>4</v>
      </c>
      <c r="S45" s="3">
        <v>0</v>
      </c>
      <c r="T45">
        <f t="shared" ref="T45:T50" si="34">(R45*S45)-1</f>
        <v>-1</v>
      </c>
      <c r="U45" t="str">
        <f t="shared" ref="U45:U50" si="35">IF(T45&gt;0.05,"Y","N")</f>
        <v>N</v>
      </c>
      <c r="V45">
        <f t="shared" ref="V45:V50" si="36">IF(U45="N",0,IFERROR(25*0.1*MAX(T45/(S45-1),0),0))</f>
        <v>0</v>
      </c>
    </row>
    <row r="46" spans="2:22" x14ac:dyDescent="0.35">
      <c r="D46" t="s">
        <v>5</v>
      </c>
      <c r="E46">
        <v>0.260351</v>
      </c>
      <c r="F46" s="3">
        <v>3.92</v>
      </c>
      <c r="G46">
        <f t="shared" si="31"/>
        <v>2.057591999999997E-2</v>
      </c>
      <c r="H46" t="str">
        <f t="shared" si="32"/>
        <v>N</v>
      </c>
      <c r="I46">
        <f t="shared" si="33"/>
        <v>0</v>
      </c>
      <c r="J46" t="s">
        <v>80</v>
      </c>
      <c r="K46">
        <v>0</v>
      </c>
      <c r="Q46" t="s">
        <v>5</v>
      </c>
      <c r="S46" s="3">
        <v>0</v>
      </c>
      <c r="T46">
        <f t="shared" si="34"/>
        <v>-1</v>
      </c>
      <c r="U46" t="str">
        <f t="shared" si="35"/>
        <v>N</v>
      </c>
      <c r="V46">
        <f t="shared" si="36"/>
        <v>0</v>
      </c>
    </row>
    <row r="47" spans="2:22" x14ac:dyDescent="0.35">
      <c r="D47" s="2" t="s">
        <v>6</v>
      </c>
      <c r="E47">
        <v>0.29591800000000001</v>
      </c>
      <c r="F47">
        <v>5.9</v>
      </c>
      <c r="G47">
        <f t="shared" si="31"/>
        <v>0.74591620000000014</v>
      </c>
      <c r="H47" t="str">
        <f t="shared" si="32"/>
        <v>Y</v>
      </c>
      <c r="I47">
        <f t="shared" si="33"/>
        <v>0.38056948979591837</v>
      </c>
      <c r="J47" t="s">
        <v>79</v>
      </c>
      <c r="K47" s="5">
        <v>0.35</v>
      </c>
      <c r="Q47" s="2" t="s">
        <v>6</v>
      </c>
      <c r="S47">
        <v>0</v>
      </c>
      <c r="T47">
        <f t="shared" si="34"/>
        <v>-1</v>
      </c>
      <c r="U47" t="str">
        <f t="shared" si="35"/>
        <v>N</v>
      </c>
      <c r="V47">
        <f t="shared" si="36"/>
        <v>0</v>
      </c>
    </row>
    <row r="48" spans="2:22" x14ac:dyDescent="0.35">
      <c r="D48" t="s">
        <v>7</v>
      </c>
      <c r="E48">
        <f>E45+E46</f>
        <v>0.70408199999999999</v>
      </c>
      <c r="F48" s="4">
        <v>1.1666666666666667</v>
      </c>
      <c r="G48">
        <f t="shared" si="31"/>
        <v>-0.17857099999999992</v>
      </c>
      <c r="H48" t="str">
        <f t="shared" si="32"/>
        <v>N</v>
      </c>
      <c r="I48">
        <f t="shared" si="33"/>
        <v>0</v>
      </c>
      <c r="J48" t="s">
        <v>80</v>
      </c>
      <c r="K48">
        <v>0</v>
      </c>
      <c r="Q48" t="s">
        <v>7</v>
      </c>
      <c r="S48" s="4">
        <v>0</v>
      </c>
      <c r="T48">
        <f t="shared" si="34"/>
        <v>-1</v>
      </c>
      <c r="U48" t="str">
        <f t="shared" si="35"/>
        <v>N</v>
      </c>
      <c r="V48">
        <f t="shared" si="36"/>
        <v>0</v>
      </c>
    </row>
    <row r="49" spans="2:22" x14ac:dyDescent="0.35">
      <c r="D49" t="s">
        <v>8</v>
      </c>
      <c r="E49">
        <f>E46+E47</f>
        <v>0.55626900000000001</v>
      </c>
      <c r="F49" s="4">
        <v>2.2000000000000002</v>
      </c>
      <c r="G49">
        <f t="shared" si="31"/>
        <v>0.2237918000000001</v>
      </c>
      <c r="H49" t="str">
        <f t="shared" si="32"/>
        <v>Y</v>
      </c>
      <c r="I49">
        <f t="shared" si="33"/>
        <v>0.46623291666666677</v>
      </c>
      <c r="J49" t="s">
        <v>79</v>
      </c>
      <c r="K49" s="5">
        <v>0.12</v>
      </c>
      <c r="Q49" t="s">
        <v>8</v>
      </c>
      <c r="S49" s="4">
        <v>0</v>
      </c>
      <c r="T49">
        <f t="shared" si="34"/>
        <v>-1</v>
      </c>
      <c r="U49" t="str">
        <f t="shared" si="35"/>
        <v>N</v>
      </c>
      <c r="V49">
        <f t="shared" si="36"/>
        <v>0</v>
      </c>
    </row>
    <row r="50" spans="2:22" x14ac:dyDescent="0.35">
      <c r="D50" t="s">
        <v>11</v>
      </c>
      <c r="E50">
        <f>E45+E47</f>
        <v>0.739649</v>
      </c>
      <c r="F50" s="4">
        <v>1.25</v>
      </c>
      <c r="G50">
        <f t="shared" si="31"/>
        <v>-7.5438749999999999E-2</v>
      </c>
      <c r="H50" t="str">
        <f t="shared" si="32"/>
        <v>N</v>
      </c>
      <c r="I50">
        <f t="shared" si="33"/>
        <v>0</v>
      </c>
      <c r="J50" t="s">
        <v>80</v>
      </c>
      <c r="K50">
        <v>0</v>
      </c>
      <c r="Q50" t="s">
        <v>11</v>
      </c>
      <c r="S50" s="4">
        <v>0</v>
      </c>
      <c r="T50">
        <f t="shared" si="34"/>
        <v>-1</v>
      </c>
      <c r="U50" t="str">
        <f t="shared" si="35"/>
        <v>N</v>
      </c>
      <c r="V50">
        <f t="shared" si="36"/>
        <v>0</v>
      </c>
    </row>
    <row r="52" spans="2:22" x14ac:dyDescent="0.35">
      <c r="B52" t="s">
        <v>37</v>
      </c>
      <c r="C52" t="s">
        <v>38</v>
      </c>
      <c r="D52" t="s">
        <v>4</v>
      </c>
      <c r="E52">
        <v>4.1519E-2</v>
      </c>
      <c r="F52" s="3">
        <v>14</v>
      </c>
      <c r="G52">
        <f t="shared" ref="G52:G57" si="37">(E52*F52)-1</f>
        <v>-0.41873399999999994</v>
      </c>
      <c r="H52" t="str">
        <f t="shared" ref="H52:H57" si="38">IF(G52&gt;0.05,"Y","N")</f>
        <v>N</v>
      </c>
      <c r="I52">
        <f t="shared" ref="I52:I57" si="39">IF(H52="N",0,IFERROR(25*0.1*MAX(G52/(F52-1),0),0))</f>
        <v>0</v>
      </c>
      <c r="O52" t="s">
        <v>26</v>
      </c>
      <c r="P52" t="s">
        <v>33</v>
      </c>
      <c r="Q52" t="s">
        <v>4</v>
      </c>
      <c r="S52" s="3">
        <v>0</v>
      </c>
      <c r="T52">
        <f t="shared" ref="T52:T57" si="40">(R52*S52)-1</f>
        <v>-1</v>
      </c>
      <c r="U52" t="str">
        <f t="shared" ref="U52:U57" si="41">IF(T52&gt;0.05,"Y","N")</f>
        <v>N</v>
      </c>
      <c r="V52">
        <f t="shared" ref="V52:V57" si="42">IF(U52="N",0,IFERROR(25*0.1*MAX(T52/(S52-1),0),0))</f>
        <v>0</v>
      </c>
    </row>
    <row r="53" spans="2:22" x14ac:dyDescent="0.35">
      <c r="D53" t="s">
        <v>5</v>
      </c>
      <c r="E53">
        <v>0.15651100000000001</v>
      </c>
      <c r="F53" s="3">
        <v>7.1</v>
      </c>
      <c r="G53">
        <f t="shared" si="37"/>
        <v>0.11122809999999994</v>
      </c>
      <c r="H53" t="str">
        <f t="shared" si="38"/>
        <v>Y</v>
      </c>
      <c r="I53">
        <f t="shared" si="39"/>
        <v>4.5585286885245879E-2</v>
      </c>
      <c r="Q53" t="s">
        <v>5</v>
      </c>
      <c r="S53" s="3">
        <v>0</v>
      </c>
      <c r="T53">
        <f t="shared" si="40"/>
        <v>-1</v>
      </c>
      <c r="U53" t="str">
        <f t="shared" si="41"/>
        <v>N</v>
      </c>
      <c r="V53">
        <f t="shared" si="42"/>
        <v>0</v>
      </c>
    </row>
    <row r="54" spans="2:22" x14ac:dyDescent="0.35">
      <c r="D54" s="2" t="s">
        <v>6</v>
      </c>
      <c r="E54">
        <v>0.80196999999999996</v>
      </c>
      <c r="F54">
        <v>1.23</v>
      </c>
      <c r="G54">
        <f t="shared" si="37"/>
        <v>-1.3576900000000114E-2</v>
      </c>
      <c r="H54" t="str">
        <f t="shared" si="38"/>
        <v>N</v>
      </c>
      <c r="I54">
        <f t="shared" si="39"/>
        <v>0</v>
      </c>
      <c r="Q54" s="2" t="s">
        <v>6</v>
      </c>
      <c r="S54">
        <v>0</v>
      </c>
      <c r="T54">
        <f t="shared" si="40"/>
        <v>-1</v>
      </c>
      <c r="U54" t="str">
        <f t="shared" si="41"/>
        <v>N</v>
      </c>
      <c r="V54">
        <f t="shared" si="42"/>
        <v>0</v>
      </c>
    </row>
    <row r="55" spans="2:22" x14ac:dyDescent="0.35">
      <c r="D55" t="s">
        <v>7</v>
      </c>
      <c r="E55">
        <f>E52+E53</f>
        <v>0.19803000000000001</v>
      </c>
      <c r="F55" s="4">
        <v>4</v>
      </c>
      <c r="G55">
        <f t="shared" si="37"/>
        <v>-0.20787999999999995</v>
      </c>
      <c r="H55" t="str">
        <f t="shared" si="38"/>
        <v>N</v>
      </c>
      <c r="I55">
        <f t="shared" si="39"/>
        <v>0</v>
      </c>
      <c r="Q55" t="s">
        <v>7</v>
      </c>
      <c r="S55" s="4">
        <v>0</v>
      </c>
      <c r="T55">
        <f t="shared" si="40"/>
        <v>-1</v>
      </c>
      <c r="U55" t="str">
        <f t="shared" si="41"/>
        <v>N</v>
      </c>
      <c r="V55">
        <f t="shared" si="42"/>
        <v>0</v>
      </c>
    </row>
    <row r="56" spans="2:22" x14ac:dyDescent="0.35">
      <c r="D56" t="s">
        <v>8</v>
      </c>
      <c r="E56">
        <f>E53+E54</f>
        <v>0.95848099999999992</v>
      </c>
      <c r="F56" s="4">
        <v>1.05</v>
      </c>
      <c r="G56">
        <f t="shared" si="37"/>
        <v>6.4050499999999122E-3</v>
      </c>
      <c r="H56" t="str">
        <f t="shared" si="38"/>
        <v>N</v>
      </c>
      <c r="I56">
        <f t="shared" si="39"/>
        <v>0</v>
      </c>
      <c r="Q56" t="s">
        <v>8</v>
      </c>
      <c r="S56" s="4">
        <v>0</v>
      </c>
      <c r="T56">
        <f t="shared" si="40"/>
        <v>-1</v>
      </c>
      <c r="U56" t="str">
        <f t="shared" si="41"/>
        <v>N</v>
      </c>
      <c r="V56">
        <f t="shared" si="42"/>
        <v>0</v>
      </c>
    </row>
    <row r="57" spans="2:22" x14ac:dyDescent="0.35">
      <c r="D57" t="s">
        <v>11</v>
      </c>
      <c r="E57">
        <f>E52+E54</f>
        <v>0.84348899999999993</v>
      </c>
      <c r="F57" s="4">
        <v>1.1000000000000001</v>
      </c>
      <c r="G57">
        <f t="shared" si="37"/>
        <v>-7.2162100000000007E-2</v>
      </c>
      <c r="H57" t="str">
        <f t="shared" si="38"/>
        <v>N</v>
      </c>
      <c r="I57">
        <f t="shared" si="39"/>
        <v>0</v>
      </c>
      <c r="Q57" t="s">
        <v>11</v>
      </c>
      <c r="S57" s="4">
        <v>0</v>
      </c>
      <c r="T57">
        <f t="shared" si="40"/>
        <v>-1</v>
      </c>
      <c r="U57" t="str">
        <f t="shared" si="41"/>
        <v>N</v>
      </c>
      <c r="V57">
        <f t="shared" si="42"/>
        <v>0</v>
      </c>
    </row>
    <row r="59" spans="2:22" x14ac:dyDescent="0.35">
      <c r="B59" t="s">
        <v>39</v>
      </c>
      <c r="C59" t="s">
        <v>40</v>
      </c>
      <c r="D59" t="s">
        <v>4</v>
      </c>
      <c r="E59">
        <v>0.205235</v>
      </c>
      <c r="F59" s="3">
        <v>0</v>
      </c>
      <c r="G59">
        <f t="shared" ref="G59:G64" si="43">(E59*F59)-1</f>
        <v>-1</v>
      </c>
      <c r="H59" t="str">
        <f t="shared" ref="H59:H64" si="44">IF(G59&gt;0.05,"Y","N")</f>
        <v>N</v>
      </c>
      <c r="I59">
        <f t="shared" ref="I59:I64" si="45">IF(H59="N",0,IFERROR(25*0.1*MAX(G59/(F59-1),0),0))</f>
        <v>0</v>
      </c>
      <c r="O59" t="s">
        <v>41</v>
      </c>
      <c r="P59" t="s">
        <v>39</v>
      </c>
      <c r="Q59" t="s">
        <v>4</v>
      </c>
      <c r="S59" s="3">
        <v>0</v>
      </c>
      <c r="T59">
        <f t="shared" ref="T59:T64" si="46">(R59*S59)-1</f>
        <v>-1</v>
      </c>
      <c r="U59" t="str">
        <f t="shared" ref="U59:U64" si="47">IF(T59&gt;0.05,"Y","N")</f>
        <v>N</v>
      </c>
      <c r="V59">
        <f t="shared" ref="V59:V64" si="48">IF(U59="N",0,IFERROR(25*0.1*MAX(T59/(S59-1),0),0))</f>
        <v>0</v>
      </c>
    </row>
    <row r="60" spans="2:22" x14ac:dyDescent="0.35">
      <c r="D60" t="s">
        <v>5</v>
      </c>
      <c r="E60">
        <v>0.248531</v>
      </c>
      <c r="F60" s="3">
        <v>0</v>
      </c>
      <c r="G60">
        <f t="shared" si="43"/>
        <v>-1</v>
      </c>
      <c r="H60" t="str">
        <f t="shared" si="44"/>
        <v>N</v>
      </c>
      <c r="I60">
        <f t="shared" si="45"/>
        <v>0</v>
      </c>
      <c r="Q60" t="s">
        <v>5</v>
      </c>
      <c r="S60" s="3">
        <v>0</v>
      </c>
      <c r="T60">
        <f t="shared" si="46"/>
        <v>-1</v>
      </c>
      <c r="U60" t="str">
        <f t="shared" si="47"/>
        <v>N</v>
      </c>
      <c r="V60">
        <f t="shared" si="48"/>
        <v>0</v>
      </c>
    </row>
    <row r="61" spans="2:22" x14ac:dyDescent="0.35">
      <c r="D61" s="2" t="s">
        <v>6</v>
      </c>
      <c r="E61">
        <v>0.546234</v>
      </c>
      <c r="F61">
        <v>0</v>
      </c>
      <c r="G61">
        <f t="shared" si="43"/>
        <v>-1</v>
      </c>
      <c r="H61" t="str">
        <f t="shared" si="44"/>
        <v>N</v>
      </c>
      <c r="I61">
        <f t="shared" si="45"/>
        <v>0</v>
      </c>
      <c r="Q61" s="2" t="s">
        <v>6</v>
      </c>
      <c r="S61">
        <v>0</v>
      </c>
      <c r="T61">
        <f t="shared" si="46"/>
        <v>-1</v>
      </c>
      <c r="U61" t="str">
        <f t="shared" si="47"/>
        <v>N</v>
      </c>
      <c r="V61">
        <f t="shared" si="48"/>
        <v>0</v>
      </c>
    </row>
    <row r="62" spans="2:22" x14ac:dyDescent="0.35">
      <c r="D62" t="s">
        <v>7</v>
      </c>
      <c r="E62">
        <f>E59+E60</f>
        <v>0.453766</v>
      </c>
      <c r="F62" s="4">
        <v>0</v>
      </c>
      <c r="G62">
        <f t="shared" si="43"/>
        <v>-1</v>
      </c>
      <c r="H62" t="str">
        <f t="shared" si="44"/>
        <v>N</v>
      </c>
      <c r="I62">
        <f t="shared" si="45"/>
        <v>0</v>
      </c>
      <c r="Q62" t="s">
        <v>7</v>
      </c>
      <c r="S62" s="4">
        <v>0</v>
      </c>
      <c r="T62">
        <f t="shared" si="46"/>
        <v>-1</v>
      </c>
      <c r="U62" t="str">
        <f t="shared" si="47"/>
        <v>N</v>
      </c>
      <c r="V62">
        <f t="shared" si="48"/>
        <v>0</v>
      </c>
    </row>
    <row r="63" spans="2:22" x14ac:dyDescent="0.35">
      <c r="D63" t="s">
        <v>8</v>
      </c>
      <c r="E63">
        <f>E60+E61</f>
        <v>0.79476499999999994</v>
      </c>
      <c r="F63" s="4">
        <v>0</v>
      </c>
      <c r="G63">
        <f t="shared" si="43"/>
        <v>-1</v>
      </c>
      <c r="H63" t="str">
        <f t="shared" si="44"/>
        <v>N</v>
      </c>
      <c r="I63">
        <f t="shared" si="45"/>
        <v>0</v>
      </c>
      <c r="Q63" t="s">
        <v>8</v>
      </c>
      <c r="S63" s="4">
        <v>0</v>
      </c>
      <c r="T63">
        <f t="shared" si="46"/>
        <v>-1</v>
      </c>
      <c r="U63" t="str">
        <f t="shared" si="47"/>
        <v>N</v>
      </c>
      <c r="V63">
        <f t="shared" si="48"/>
        <v>0</v>
      </c>
    </row>
    <row r="64" spans="2:22" x14ac:dyDescent="0.35">
      <c r="D64" t="s">
        <v>11</v>
      </c>
      <c r="E64">
        <f>E59+E61</f>
        <v>0.75146899999999994</v>
      </c>
      <c r="F64" s="4">
        <v>0</v>
      </c>
      <c r="G64">
        <f t="shared" si="43"/>
        <v>-1</v>
      </c>
      <c r="H64" t="str">
        <f t="shared" si="44"/>
        <v>N</v>
      </c>
      <c r="I64">
        <f t="shared" si="45"/>
        <v>0</v>
      </c>
      <c r="Q64" t="s">
        <v>11</v>
      </c>
      <c r="S64" s="4">
        <v>0</v>
      </c>
      <c r="T64">
        <f t="shared" si="46"/>
        <v>-1</v>
      </c>
      <c r="U64" t="str">
        <f t="shared" si="47"/>
        <v>N</v>
      </c>
      <c r="V64">
        <f t="shared" si="48"/>
        <v>0</v>
      </c>
    </row>
    <row r="66" spans="2:22" x14ac:dyDescent="0.35">
      <c r="B66" t="s">
        <v>41</v>
      </c>
      <c r="C66" t="s">
        <v>42</v>
      </c>
      <c r="D66" t="s">
        <v>4</v>
      </c>
      <c r="E66">
        <v>0.90363800000000005</v>
      </c>
      <c r="F66" s="3">
        <v>0</v>
      </c>
      <c r="G66">
        <f t="shared" ref="G66:G71" si="49">(E66*F66)-1</f>
        <v>-1</v>
      </c>
      <c r="H66" t="str">
        <f t="shared" ref="H66:H71" si="50">IF(G66&gt;0.05,"Y","N")</f>
        <v>N</v>
      </c>
      <c r="I66">
        <f t="shared" ref="I66:I71" si="51">IF(H66="N",0,IFERROR(25*0.1*MAX(G66/(F66-1),0),0))</f>
        <v>0</v>
      </c>
      <c r="O66" t="s">
        <v>40</v>
      </c>
      <c r="P66" t="s">
        <v>76</v>
      </c>
      <c r="Q66" t="s">
        <v>4</v>
      </c>
      <c r="S66" s="3">
        <v>0</v>
      </c>
      <c r="T66">
        <f t="shared" ref="T66" si="52">(R66*S66)-1</f>
        <v>-1</v>
      </c>
      <c r="U66" t="str">
        <f t="shared" ref="U66:U71" si="53">IF(T66&gt;0.05,"Y","N")</f>
        <v>N</v>
      </c>
      <c r="V66">
        <f t="shared" ref="V66:V71" si="54">IF(U66="N",0,IFERROR(25*0.1*MAX(T66/(S66-1),0),0))</f>
        <v>0</v>
      </c>
    </row>
    <row r="67" spans="2:22" x14ac:dyDescent="0.35">
      <c r="D67" t="s">
        <v>5</v>
      </c>
      <c r="E67">
        <v>8.5676000000000002E-2</v>
      </c>
      <c r="F67" s="3">
        <v>0</v>
      </c>
      <c r="G67">
        <f t="shared" si="49"/>
        <v>-1</v>
      </c>
      <c r="H67" t="str">
        <f t="shared" si="50"/>
        <v>N</v>
      </c>
      <c r="I67">
        <f t="shared" si="51"/>
        <v>0</v>
      </c>
      <c r="Q67" t="s">
        <v>5</v>
      </c>
      <c r="S67" s="3">
        <v>0</v>
      </c>
      <c r="T67">
        <f>(R67*S67)-1</f>
        <v>-1</v>
      </c>
      <c r="U67" t="str">
        <f t="shared" si="53"/>
        <v>N</v>
      </c>
      <c r="V67">
        <f t="shared" si="54"/>
        <v>0</v>
      </c>
    </row>
    <row r="68" spans="2:22" x14ac:dyDescent="0.35">
      <c r="D68" s="2" t="s">
        <v>6</v>
      </c>
      <c r="E68">
        <v>1.0685999999999999E-2</v>
      </c>
      <c r="F68">
        <v>0</v>
      </c>
      <c r="G68">
        <f t="shared" si="49"/>
        <v>-1</v>
      </c>
      <c r="H68" t="str">
        <f t="shared" si="50"/>
        <v>N</v>
      </c>
      <c r="I68">
        <f t="shared" si="51"/>
        <v>0</v>
      </c>
      <c r="Q68" s="2" t="s">
        <v>6</v>
      </c>
      <c r="S68">
        <v>0</v>
      </c>
      <c r="T68">
        <f>(R68*S68)-1</f>
        <v>-1</v>
      </c>
      <c r="U68" t="str">
        <f t="shared" si="53"/>
        <v>N</v>
      </c>
      <c r="V68">
        <f t="shared" si="54"/>
        <v>0</v>
      </c>
    </row>
    <row r="69" spans="2:22" x14ac:dyDescent="0.35">
      <c r="D69" t="s">
        <v>7</v>
      </c>
      <c r="E69">
        <f>E66+E67</f>
        <v>0.98931400000000003</v>
      </c>
      <c r="F69" s="4">
        <v>0</v>
      </c>
      <c r="G69">
        <f t="shared" si="49"/>
        <v>-1</v>
      </c>
      <c r="H69" t="str">
        <f t="shared" si="50"/>
        <v>N</v>
      </c>
      <c r="I69">
        <f t="shared" si="51"/>
        <v>0</v>
      </c>
      <c r="Q69" t="s">
        <v>7</v>
      </c>
      <c r="S69" s="4">
        <v>0</v>
      </c>
      <c r="T69">
        <f t="shared" ref="T69:T71" si="55">(R69*S69)-1</f>
        <v>-1</v>
      </c>
      <c r="U69" t="str">
        <f t="shared" si="53"/>
        <v>N</v>
      </c>
      <c r="V69">
        <f t="shared" si="54"/>
        <v>0</v>
      </c>
    </row>
    <row r="70" spans="2:22" x14ac:dyDescent="0.35">
      <c r="D70" t="s">
        <v>8</v>
      </c>
      <c r="E70">
        <f>E67+E68</f>
        <v>9.6362000000000003E-2</v>
      </c>
      <c r="F70" s="4">
        <v>0</v>
      </c>
      <c r="G70">
        <f t="shared" si="49"/>
        <v>-1</v>
      </c>
      <c r="H70" t="str">
        <f t="shared" si="50"/>
        <v>N</v>
      </c>
      <c r="I70">
        <f t="shared" si="51"/>
        <v>0</v>
      </c>
      <c r="Q70" t="s">
        <v>8</v>
      </c>
      <c r="S70" s="4">
        <v>0</v>
      </c>
      <c r="T70">
        <f t="shared" si="55"/>
        <v>-1</v>
      </c>
      <c r="U70" t="str">
        <f t="shared" si="53"/>
        <v>N</v>
      </c>
      <c r="V70">
        <f t="shared" si="54"/>
        <v>0</v>
      </c>
    </row>
    <row r="71" spans="2:22" x14ac:dyDescent="0.35">
      <c r="D71" t="s">
        <v>11</v>
      </c>
      <c r="E71">
        <f>E66+E68</f>
        <v>0.91432400000000003</v>
      </c>
      <c r="F71" s="4">
        <v>0</v>
      </c>
      <c r="G71">
        <f t="shared" si="49"/>
        <v>-1</v>
      </c>
      <c r="H71" t="str">
        <f t="shared" si="50"/>
        <v>N</v>
      </c>
      <c r="I71">
        <f t="shared" si="51"/>
        <v>0</v>
      </c>
      <c r="Q71" t="s">
        <v>11</v>
      </c>
      <c r="S71" s="4">
        <v>0</v>
      </c>
      <c r="T71">
        <f t="shared" si="55"/>
        <v>-1</v>
      </c>
      <c r="U71" t="str">
        <f t="shared" si="53"/>
        <v>N</v>
      </c>
      <c r="V71">
        <f t="shared" si="54"/>
        <v>0</v>
      </c>
    </row>
    <row r="73" spans="2:22" x14ac:dyDescent="0.35">
      <c r="B73" t="s">
        <v>43</v>
      </c>
      <c r="C73" t="s">
        <v>44</v>
      </c>
      <c r="D73" t="s">
        <v>4</v>
      </c>
      <c r="E73">
        <v>0.37424400000000002</v>
      </c>
      <c r="F73" s="3">
        <v>0</v>
      </c>
      <c r="G73">
        <f t="shared" ref="G73:G78" si="56">(E73*F73)-1</f>
        <v>-1</v>
      </c>
      <c r="H73" t="str">
        <f t="shared" ref="H73:H78" si="57">IF(G73&gt;0.05,"Y","N")</f>
        <v>N</v>
      </c>
      <c r="I73">
        <f t="shared" ref="I73:I78" si="58">IF(H73="N",0,IFERROR(25*0.1*MAX(G73/(F73-1),0),0))</f>
        <v>0</v>
      </c>
      <c r="O73" t="s">
        <v>43</v>
      </c>
      <c r="P73" t="s">
        <v>77</v>
      </c>
      <c r="Q73" t="s">
        <v>4</v>
      </c>
      <c r="S73" s="3">
        <v>0</v>
      </c>
      <c r="T73">
        <f t="shared" ref="T73:T78" si="59">(R73*S73)-1</f>
        <v>-1</v>
      </c>
      <c r="U73" t="str">
        <f t="shared" ref="U73:U78" si="60">IF(T73&gt;0.05,"Y","N")</f>
        <v>N</v>
      </c>
      <c r="V73">
        <f t="shared" ref="V73:V78" si="61">IF(U73="N",0,IFERROR(25*0.1*MAX(T73/(S73-1),0),0))</f>
        <v>0</v>
      </c>
    </row>
    <row r="74" spans="2:22" x14ac:dyDescent="0.35">
      <c r="D74" t="s">
        <v>5</v>
      </c>
      <c r="E74">
        <v>0.26579599999999998</v>
      </c>
      <c r="F74" s="3">
        <v>0</v>
      </c>
      <c r="G74">
        <f t="shared" si="56"/>
        <v>-1</v>
      </c>
      <c r="H74" t="str">
        <f t="shared" si="57"/>
        <v>N</v>
      </c>
      <c r="I74">
        <f t="shared" si="58"/>
        <v>0</v>
      </c>
      <c r="Q74" t="s">
        <v>5</v>
      </c>
      <c r="S74" s="3">
        <v>0</v>
      </c>
      <c r="T74">
        <f t="shared" si="59"/>
        <v>-1</v>
      </c>
      <c r="U74" t="str">
        <f t="shared" si="60"/>
        <v>N</v>
      </c>
      <c r="V74">
        <f t="shared" si="61"/>
        <v>0</v>
      </c>
    </row>
    <row r="75" spans="2:22" x14ac:dyDescent="0.35">
      <c r="D75" s="2" t="s">
        <v>6</v>
      </c>
      <c r="E75">
        <v>0.35996</v>
      </c>
      <c r="F75">
        <v>0</v>
      </c>
      <c r="G75">
        <f t="shared" si="56"/>
        <v>-1</v>
      </c>
      <c r="H75" t="str">
        <f t="shared" si="57"/>
        <v>N</v>
      </c>
      <c r="I75">
        <f t="shared" si="58"/>
        <v>0</v>
      </c>
      <c r="Q75" s="2" t="s">
        <v>6</v>
      </c>
      <c r="S75">
        <v>0</v>
      </c>
      <c r="T75">
        <f t="shared" si="59"/>
        <v>-1</v>
      </c>
      <c r="U75" t="str">
        <f t="shared" si="60"/>
        <v>N</v>
      </c>
      <c r="V75">
        <f t="shared" si="61"/>
        <v>0</v>
      </c>
    </row>
    <row r="76" spans="2:22" x14ac:dyDescent="0.35">
      <c r="D76" t="s">
        <v>7</v>
      </c>
      <c r="E76">
        <f>E73+E74</f>
        <v>0.64003999999999994</v>
      </c>
      <c r="F76" s="4">
        <v>0</v>
      </c>
      <c r="G76">
        <f t="shared" si="56"/>
        <v>-1</v>
      </c>
      <c r="H76" t="str">
        <f t="shared" si="57"/>
        <v>N</v>
      </c>
      <c r="I76">
        <f t="shared" si="58"/>
        <v>0</v>
      </c>
      <c r="Q76" t="s">
        <v>7</v>
      </c>
      <c r="S76" s="4">
        <v>0</v>
      </c>
      <c r="T76">
        <f t="shared" si="59"/>
        <v>-1</v>
      </c>
      <c r="U76" t="str">
        <f t="shared" si="60"/>
        <v>N</v>
      </c>
      <c r="V76">
        <f t="shared" si="61"/>
        <v>0</v>
      </c>
    </row>
    <row r="77" spans="2:22" x14ac:dyDescent="0.35">
      <c r="D77" t="s">
        <v>8</v>
      </c>
      <c r="E77">
        <f>E74+E75</f>
        <v>0.62575599999999998</v>
      </c>
      <c r="F77" s="4">
        <v>0</v>
      </c>
      <c r="G77">
        <f t="shared" si="56"/>
        <v>-1</v>
      </c>
      <c r="H77" t="str">
        <f t="shared" si="57"/>
        <v>N</v>
      </c>
      <c r="I77">
        <f t="shared" si="58"/>
        <v>0</v>
      </c>
      <c r="Q77" t="s">
        <v>8</v>
      </c>
      <c r="S77" s="4">
        <v>0</v>
      </c>
      <c r="T77">
        <f t="shared" si="59"/>
        <v>-1</v>
      </c>
      <c r="U77" t="str">
        <f t="shared" si="60"/>
        <v>N</v>
      </c>
      <c r="V77">
        <f t="shared" si="61"/>
        <v>0</v>
      </c>
    </row>
    <row r="78" spans="2:22" x14ac:dyDescent="0.35">
      <c r="D78" t="s">
        <v>11</v>
      </c>
      <c r="E78">
        <f>E73+E75</f>
        <v>0.73420400000000008</v>
      </c>
      <c r="F78" s="4">
        <v>0</v>
      </c>
      <c r="G78">
        <f t="shared" si="56"/>
        <v>-1</v>
      </c>
      <c r="H78" t="str">
        <f t="shared" si="57"/>
        <v>N</v>
      </c>
      <c r="I78">
        <f t="shared" si="58"/>
        <v>0</v>
      </c>
      <c r="Q78" t="s">
        <v>11</v>
      </c>
      <c r="S78" s="4">
        <v>0</v>
      </c>
      <c r="T78">
        <f t="shared" si="59"/>
        <v>-1</v>
      </c>
      <c r="U78" t="str">
        <f t="shared" si="60"/>
        <v>N</v>
      </c>
      <c r="V78">
        <f t="shared" si="61"/>
        <v>0</v>
      </c>
    </row>
    <row r="80" spans="2:22" x14ac:dyDescent="0.35">
      <c r="B80" t="s">
        <v>45</v>
      </c>
      <c r="C80" t="s">
        <v>46</v>
      </c>
      <c r="D80" t="s">
        <v>4</v>
      </c>
      <c r="E80">
        <v>0.60088399999999997</v>
      </c>
      <c r="F80" s="3">
        <v>0</v>
      </c>
      <c r="G80">
        <f t="shared" ref="G80:G85" si="62">(E80*F80)-1</f>
        <v>-1</v>
      </c>
      <c r="H80" t="str">
        <f t="shared" ref="H80:H85" si="63">IF(G80&gt;0.05,"Y","N")</f>
        <v>N</v>
      </c>
      <c r="I80">
        <f t="shared" ref="I80:I85" si="64">IF(H80="N",0,IFERROR(25*0.1*MAX(G80/(F80-1),0),0))</f>
        <v>0</v>
      </c>
      <c r="O80" t="s">
        <v>46</v>
      </c>
      <c r="P80" t="s">
        <v>44</v>
      </c>
      <c r="Q80" t="s">
        <v>4</v>
      </c>
      <c r="S80" s="3">
        <v>0</v>
      </c>
      <c r="T80">
        <f t="shared" ref="T80:T85" si="65">(R80*S80)-1</f>
        <v>-1</v>
      </c>
      <c r="U80" t="str">
        <f t="shared" ref="U80:U85" si="66">IF(T80&gt;0.05,"Y","N")</f>
        <v>N</v>
      </c>
      <c r="V80">
        <f t="shared" ref="V80:V85" si="67">IF(U80="N",0,IFERROR(25*0.1*MAX(T80/(S80-1),0),0))</f>
        <v>0</v>
      </c>
    </row>
    <row r="81" spans="2:22" x14ac:dyDescent="0.35">
      <c r="D81" t="s">
        <v>5</v>
      </c>
      <c r="E81">
        <v>0.227131</v>
      </c>
      <c r="F81" s="3">
        <v>0</v>
      </c>
      <c r="G81">
        <f t="shared" si="62"/>
        <v>-1</v>
      </c>
      <c r="H81" t="str">
        <f t="shared" si="63"/>
        <v>N</v>
      </c>
      <c r="I81">
        <f t="shared" si="64"/>
        <v>0</v>
      </c>
      <c r="Q81" t="s">
        <v>5</v>
      </c>
      <c r="S81" s="3">
        <v>0</v>
      </c>
      <c r="T81">
        <f t="shared" si="65"/>
        <v>-1</v>
      </c>
      <c r="U81" t="str">
        <f t="shared" si="66"/>
        <v>N</v>
      </c>
      <c r="V81">
        <f t="shared" si="67"/>
        <v>0</v>
      </c>
    </row>
    <row r="82" spans="2:22" x14ac:dyDescent="0.35">
      <c r="D82" s="2" t="s">
        <v>6</v>
      </c>
      <c r="E82">
        <v>0.171986</v>
      </c>
      <c r="F82">
        <v>0</v>
      </c>
      <c r="G82">
        <f t="shared" si="62"/>
        <v>-1</v>
      </c>
      <c r="H82" t="str">
        <f t="shared" si="63"/>
        <v>N</v>
      </c>
      <c r="I82">
        <f t="shared" si="64"/>
        <v>0</v>
      </c>
      <c r="Q82" s="2" t="s">
        <v>6</v>
      </c>
      <c r="S82">
        <v>0</v>
      </c>
      <c r="T82">
        <f t="shared" si="65"/>
        <v>-1</v>
      </c>
      <c r="U82" t="str">
        <f t="shared" si="66"/>
        <v>N</v>
      </c>
      <c r="V82">
        <f t="shared" si="67"/>
        <v>0</v>
      </c>
    </row>
    <row r="83" spans="2:22" x14ac:dyDescent="0.35">
      <c r="D83" t="s">
        <v>7</v>
      </c>
      <c r="E83">
        <f>E80+E81</f>
        <v>0.82801499999999995</v>
      </c>
      <c r="F83" s="4">
        <v>0</v>
      </c>
      <c r="G83">
        <f t="shared" si="62"/>
        <v>-1</v>
      </c>
      <c r="H83" t="str">
        <f t="shared" si="63"/>
        <v>N</v>
      </c>
      <c r="I83">
        <f t="shared" si="64"/>
        <v>0</v>
      </c>
      <c r="Q83" t="s">
        <v>7</v>
      </c>
      <c r="S83" s="4">
        <v>0</v>
      </c>
      <c r="T83">
        <f t="shared" si="65"/>
        <v>-1</v>
      </c>
      <c r="U83" t="str">
        <f t="shared" si="66"/>
        <v>N</v>
      </c>
      <c r="V83">
        <f t="shared" si="67"/>
        <v>0</v>
      </c>
    </row>
    <row r="84" spans="2:22" x14ac:dyDescent="0.35">
      <c r="D84" t="s">
        <v>8</v>
      </c>
      <c r="E84">
        <f>E81+E82</f>
        <v>0.399117</v>
      </c>
      <c r="F84" s="4">
        <v>0</v>
      </c>
      <c r="G84">
        <f t="shared" si="62"/>
        <v>-1</v>
      </c>
      <c r="H84" t="str">
        <f t="shared" si="63"/>
        <v>N</v>
      </c>
      <c r="I84">
        <f t="shared" si="64"/>
        <v>0</v>
      </c>
      <c r="Q84" t="s">
        <v>8</v>
      </c>
      <c r="S84" s="4">
        <v>0</v>
      </c>
      <c r="T84">
        <f t="shared" si="65"/>
        <v>-1</v>
      </c>
      <c r="U84" t="str">
        <f t="shared" si="66"/>
        <v>N</v>
      </c>
      <c r="V84">
        <f t="shared" si="67"/>
        <v>0</v>
      </c>
    </row>
    <row r="85" spans="2:22" x14ac:dyDescent="0.35">
      <c r="D85" t="s">
        <v>11</v>
      </c>
      <c r="E85">
        <f>E80+E82</f>
        <v>0.77286999999999995</v>
      </c>
      <c r="F85" s="4">
        <v>0</v>
      </c>
      <c r="G85">
        <f t="shared" si="62"/>
        <v>-1</v>
      </c>
      <c r="H85" t="str">
        <f t="shared" si="63"/>
        <v>N</v>
      </c>
      <c r="I85">
        <f t="shared" si="64"/>
        <v>0</v>
      </c>
      <c r="Q85" t="s">
        <v>11</v>
      </c>
      <c r="S85" s="4">
        <v>0</v>
      </c>
      <c r="T85">
        <f t="shared" si="65"/>
        <v>-1</v>
      </c>
      <c r="U85" t="str">
        <f t="shared" si="66"/>
        <v>N</v>
      </c>
      <c r="V85">
        <f t="shared" si="67"/>
        <v>0</v>
      </c>
    </row>
    <row r="87" spans="2:22" x14ac:dyDescent="0.35">
      <c r="B87" t="s">
        <v>47</v>
      </c>
      <c r="C87" t="s">
        <v>48</v>
      </c>
      <c r="D87" t="s">
        <v>4</v>
      </c>
      <c r="E87">
        <v>0.119049</v>
      </c>
      <c r="F87" s="3">
        <v>0</v>
      </c>
      <c r="G87">
        <f t="shared" ref="G87:G92" si="68">(E87*F87)-1</f>
        <v>-1</v>
      </c>
      <c r="H87" t="str">
        <f t="shared" ref="H87:H92" si="69">IF(G87&gt;0.05,"Y","N")</f>
        <v>N</v>
      </c>
      <c r="I87">
        <f t="shared" ref="I87:I92" si="70">IF(H87="N",0,IFERROR(25*0.1*MAX(G87/(F87-1),0),0))</f>
        <v>0</v>
      </c>
      <c r="O87" t="s">
        <v>48</v>
      </c>
      <c r="P87" t="s">
        <v>50</v>
      </c>
      <c r="Q87" t="s">
        <v>4</v>
      </c>
      <c r="S87" s="3">
        <v>0</v>
      </c>
      <c r="T87">
        <f t="shared" ref="T87:T92" si="71">(R87*S87)-1</f>
        <v>-1</v>
      </c>
      <c r="U87" t="str">
        <f t="shared" ref="U87:U92" si="72">IF(T87&gt;0.05,"Y","N")</f>
        <v>N</v>
      </c>
      <c r="V87">
        <f t="shared" ref="V87:V92" si="73">IF(U87="N",0,IFERROR(25*0.1*MAX(T87/(S87-1),0),0))</f>
        <v>0</v>
      </c>
    </row>
    <row r="88" spans="2:22" x14ac:dyDescent="0.35">
      <c r="D88" t="s">
        <v>5</v>
      </c>
      <c r="E88">
        <v>0.21518699999999999</v>
      </c>
      <c r="F88" s="3">
        <v>0</v>
      </c>
      <c r="G88">
        <f t="shared" si="68"/>
        <v>-1</v>
      </c>
      <c r="H88" t="str">
        <f t="shared" si="69"/>
        <v>N</v>
      </c>
      <c r="I88">
        <f t="shared" si="70"/>
        <v>0</v>
      </c>
      <c r="Q88" t="s">
        <v>5</v>
      </c>
      <c r="S88" s="3">
        <v>0</v>
      </c>
      <c r="T88">
        <f t="shared" si="71"/>
        <v>-1</v>
      </c>
      <c r="U88" t="str">
        <f t="shared" si="72"/>
        <v>N</v>
      </c>
      <c r="V88">
        <f t="shared" si="73"/>
        <v>0</v>
      </c>
    </row>
    <row r="89" spans="2:22" x14ac:dyDescent="0.35">
      <c r="D89" s="2" t="s">
        <v>6</v>
      </c>
      <c r="E89">
        <v>0.66576400000000002</v>
      </c>
      <c r="F89">
        <v>0</v>
      </c>
      <c r="G89">
        <f t="shared" si="68"/>
        <v>-1</v>
      </c>
      <c r="H89" t="str">
        <f t="shared" si="69"/>
        <v>N</v>
      </c>
      <c r="I89">
        <f t="shared" si="70"/>
        <v>0</v>
      </c>
      <c r="Q89" s="2" t="s">
        <v>6</v>
      </c>
      <c r="S89">
        <v>0</v>
      </c>
      <c r="T89">
        <f t="shared" si="71"/>
        <v>-1</v>
      </c>
      <c r="U89" t="str">
        <f t="shared" si="72"/>
        <v>N</v>
      </c>
      <c r="V89">
        <f t="shared" si="73"/>
        <v>0</v>
      </c>
    </row>
    <row r="90" spans="2:22" x14ac:dyDescent="0.35">
      <c r="D90" t="s">
        <v>7</v>
      </c>
      <c r="E90">
        <f>E87+E88</f>
        <v>0.33423599999999998</v>
      </c>
      <c r="F90" s="4">
        <v>0</v>
      </c>
      <c r="G90">
        <f t="shared" si="68"/>
        <v>-1</v>
      </c>
      <c r="H90" t="str">
        <f t="shared" si="69"/>
        <v>N</v>
      </c>
      <c r="I90">
        <f t="shared" si="70"/>
        <v>0</v>
      </c>
      <c r="Q90" t="s">
        <v>7</v>
      </c>
      <c r="S90" s="4">
        <v>0</v>
      </c>
      <c r="T90">
        <f t="shared" si="71"/>
        <v>-1</v>
      </c>
      <c r="U90" t="str">
        <f t="shared" si="72"/>
        <v>N</v>
      </c>
      <c r="V90">
        <f t="shared" si="73"/>
        <v>0</v>
      </c>
    </row>
    <row r="91" spans="2:22" x14ac:dyDescent="0.35">
      <c r="D91" t="s">
        <v>8</v>
      </c>
      <c r="E91">
        <f>E88+E89</f>
        <v>0.88095100000000004</v>
      </c>
      <c r="F91" s="4">
        <v>0</v>
      </c>
      <c r="G91">
        <f t="shared" si="68"/>
        <v>-1</v>
      </c>
      <c r="H91" t="str">
        <f t="shared" si="69"/>
        <v>N</v>
      </c>
      <c r="I91">
        <f t="shared" si="70"/>
        <v>0</v>
      </c>
      <c r="Q91" t="s">
        <v>8</v>
      </c>
      <c r="S91" s="4">
        <v>0</v>
      </c>
      <c r="T91">
        <f t="shared" si="71"/>
        <v>-1</v>
      </c>
      <c r="U91" t="str">
        <f t="shared" si="72"/>
        <v>N</v>
      </c>
      <c r="V91">
        <f t="shared" si="73"/>
        <v>0</v>
      </c>
    </row>
    <row r="92" spans="2:22" x14ac:dyDescent="0.35">
      <c r="D92" t="s">
        <v>11</v>
      </c>
      <c r="E92">
        <f>E87+E89</f>
        <v>0.78481299999999998</v>
      </c>
      <c r="F92" s="4">
        <v>0</v>
      </c>
      <c r="G92">
        <f t="shared" si="68"/>
        <v>-1</v>
      </c>
      <c r="H92" t="str">
        <f t="shared" si="69"/>
        <v>N</v>
      </c>
      <c r="I92">
        <f t="shared" si="70"/>
        <v>0</v>
      </c>
      <c r="Q92" t="s">
        <v>11</v>
      </c>
      <c r="S92" s="4">
        <v>0</v>
      </c>
      <c r="T92">
        <f t="shared" si="71"/>
        <v>-1</v>
      </c>
      <c r="U92" t="str">
        <f t="shared" si="72"/>
        <v>N</v>
      </c>
      <c r="V92">
        <f t="shared" si="73"/>
        <v>0</v>
      </c>
    </row>
    <row r="94" spans="2:22" x14ac:dyDescent="0.35">
      <c r="B94" t="s">
        <v>49</v>
      </c>
      <c r="C94" t="s">
        <v>50</v>
      </c>
      <c r="D94" t="s">
        <v>4</v>
      </c>
      <c r="E94">
        <v>0.900088</v>
      </c>
      <c r="F94" s="3">
        <v>0</v>
      </c>
      <c r="G94">
        <f t="shared" ref="G94:G99" si="74">(E94*F94)-1</f>
        <v>-1</v>
      </c>
      <c r="H94" t="str">
        <f t="shared" ref="H94:H99" si="75">IF(G94&gt;0.05,"Y","N")</f>
        <v>N</v>
      </c>
      <c r="I94">
        <f t="shared" ref="I94:I99" si="76">IF(H94="N",0,IFERROR(25*0.1*MAX(G94/(F94-1),0),0))</f>
        <v>0</v>
      </c>
      <c r="O94" t="s">
        <v>49</v>
      </c>
      <c r="P94" t="s">
        <v>47</v>
      </c>
      <c r="Q94" t="s">
        <v>4</v>
      </c>
      <c r="S94" s="3">
        <v>0</v>
      </c>
      <c r="T94">
        <f t="shared" ref="T94:T99" si="77">(R94*S94)-1</f>
        <v>-1</v>
      </c>
      <c r="U94" t="str">
        <f t="shared" ref="U94:U99" si="78">IF(T94&gt;0.05,"Y","N")</f>
        <v>N</v>
      </c>
      <c r="V94">
        <f t="shared" ref="V94:V99" si="79">IF(U94="N",0,IFERROR(25*0.1*MAX(T94/(S94-1),0),0))</f>
        <v>0</v>
      </c>
    </row>
    <row r="95" spans="2:22" x14ac:dyDescent="0.35">
      <c r="D95" t="s">
        <v>5</v>
      </c>
      <c r="E95">
        <v>8.8045999999999999E-2</v>
      </c>
      <c r="F95" s="3">
        <v>0</v>
      </c>
      <c r="G95">
        <f>(E95*F95)-1</f>
        <v>-1</v>
      </c>
      <c r="H95" t="str">
        <f t="shared" si="75"/>
        <v>N</v>
      </c>
      <c r="I95">
        <f t="shared" si="76"/>
        <v>0</v>
      </c>
      <c r="Q95" t="s">
        <v>5</v>
      </c>
      <c r="S95" s="3">
        <v>0</v>
      </c>
      <c r="T95">
        <f t="shared" si="77"/>
        <v>-1</v>
      </c>
      <c r="U95" t="str">
        <f t="shared" si="78"/>
        <v>N</v>
      </c>
      <c r="V95">
        <f t="shared" si="79"/>
        <v>0</v>
      </c>
    </row>
    <row r="96" spans="2:22" x14ac:dyDescent="0.35">
      <c r="D96" s="2" t="s">
        <v>6</v>
      </c>
      <c r="E96">
        <v>1.1866E-2</v>
      </c>
      <c r="F96">
        <v>0</v>
      </c>
      <c r="G96">
        <f>(E96*F96)-1</f>
        <v>-1</v>
      </c>
      <c r="H96" t="str">
        <f t="shared" si="75"/>
        <v>N</v>
      </c>
      <c r="I96">
        <f t="shared" si="76"/>
        <v>0</v>
      </c>
      <c r="Q96" s="2" t="s">
        <v>6</v>
      </c>
      <c r="S96">
        <v>0</v>
      </c>
      <c r="T96">
        <f t="shared" si="77"/>
        <v>-1</v>
      </c>
      <c r="U96" t="str">
        <f t="shared" si="78"/>
        <v>N</v>
      </c>
      <c r="V96">
        <f t="shared" si="79"/>
        <v>0</v>
      </c>
    </row>
    <row r="97" spans="2:22" x14ac:dyDescent="0.35">
      <c r="D97" t="s">
        <v>7</v>
      </c>
      <c r="E97">
        <f>E94+E95</f>
        <v>0.98813399999999996</v>
      </c>
      <c r="F97" s="4">
        <v>0</v>
      </c>
      <c r="G97">
        <f t="shared" si="74"/>
        <v>-1</v>
      </c>
      <c r="H97" t="str">
        <f t="shared" si="75"/>
        <v>N</v>
      </c>
      <c r="I97">
        <f t="shared" si="76"/>
        <v>0</v>
      </c>
      <c r="Q97" t="s">
        <v>7</v>
      </c>
      <c r="S97" s="4">
        <v>0</v>
      </c>
      <c r="T97">
        <f t="shared" si="77"/>
        <v>-1</v>
      </c>
      <c r="U97" t="str">
        <f t="shared" si="78"/>
        <v>N</v>
      </c>
      <c r="V97">
        <f t="shared" si="79"/>
        <v>0</v>
      </c>
    </row>
    <row r="98" spans="2:22" x14ac:dyDescent="0.35">
      <c r="D98" t="s">
        <v>8</v>
      </c>
      <c r="E98">
        <f>E95+E96</f>
        <v>9.9912000000000001E-2</v>
      </c>
      <c r="F98" s="4">
        <v>0</v>
      </c>
      <c r="G98">
        <f t="shared" si="74"/>
        <v>-1</v>
      </c>
      <c r="H98" t="str">
        <f t="shared" si="75"/>
        <v>N</v>
      </c>
      <c r="I98">
        <f t="shared" si="76"/>
        <v>0</v>
      </c>
      <c r="Q98" t="s">
        <v>8</v>
      </c>
      <c r="S98" s="4">
        <v>0</v>
      </c>
      <c r="T98">
        <f t="shared" si="77"/>
        <v>-1</v>
      </c>
      <c r="U98" t="str">
        <f t="shared" si="78"/>
        <v>N</v>
      </c>
      <c r="V98">
        <f t="shared" si="79"/>
        <v>0</v>
      </c>
    </row>
    <row r="99" spans="2:22" x14ac:dyDescent="0.35">
      <c r="D99" t="s">
        <v>11</v>
      </c>
      <c r="E99">
        <f>E94+E96</f>
        <v>0.91195400000000004</v>
      </c>
      <c r="F99" s="4">
        <v>0</v>
      </c>
      <c r="G99">
        <f t="shared" si="74"/>
        <v>-1</v>
      </c>
      <c r="H99" t="str">
        <f t="shared" si="75"/>
        <v>N</v>
      </c>
      <c r="I99">
        <f t="shared" si="76"/>
        <v>0</v>
      </c>
      <c r="Q99" t="s">
        <v>11</v>
      </c>
      <c r="S99" s="4">
        <v>0</v>
      </c>
      <c r="T99">
        <f t="shared" si="77"/>
        <v>-1</v>
      </c>
      <c r="U99" t="str">
        <f t="shared" si="78"/>
        <v>N</v>
      </c>
      <c r="V99">
        <f t="shared" si="79"/>
        <v>0</v>
      </c>
    </row>
    <row r="101" spans="2:22" x14ac:dyDescent="0.35">
      <c r="B101" t="s">
        <v>51</v>
      </c>
      <c r="C101" t="s">
        <v>52</v>
      </c>
      <c r="D101" t="s">
        <v>4</v>
      </c>
      <c r="E101">
        <v>0.74771500000000002</v>
      </c>
      <c r="F101" s="3">
        <v>0</v>
      </c>
      <c r="G101">
        <f t="shared" ref="G101:G106" si="80">(E101*F101)-1</f>
        <v>-1</v>
      </c>
      <c r="H101" t="str">
        <f t="shared" ref="H101:H106" si="81">IF(G101&gt;0.05,"Y","N")</f>
        <v>N</v>
      </c>
      <c r="I101">
        <f t="shared" ref="I101:I106" si="82">IF(H101="N",0,IFERROR(25*0.1*MAX(G101/(F101-1),0),0))</f>
        <v>0</v>
      </c>
      <c r="O101" t="s">
        <v>53</v>
      </c>
      <c r="P101" t="s">
        <v>51</v>
      </c>
      <c r="Q101" t="s">
        <v>4</v>
      </c>
      <c r="S101" s="3">
        <v>0</v>
      </c>
      <c r="T101">
        <f t="shared" ref="T101:T106" si="83">(R101*S101)-1</f>
        <v>-1</v>
      </c>
      <c r="U101" t="str">
        <f t="shared" ref="U101:U106" si="84">IF(T101&gt;0.05,"Y","N")</f>
        <v>N</v>
      </c>
      <c r="V101">
        <f t="shared" ref="V101:V106" si="85">IF(U101="N",0,IFERROR(25*0.1*MAX(T101/(S101-1),0),0))</f>
        <v>0</v>
      </c>
    </row>
    <row r="102" spans="2:22" x14ac:dyDescent="0.35">
      <c r="D102" t="s">
        <v>5</v>
      </c>
      <c r="E102">
        <v>0.17206399999999999</v>
      </c>
      <c r="F102" s="3">
        <v>0</v>
      </c>
      <c r="G102">
        <f t="shared" si="80"/>
        <v>-1</v>
      </c>
      <c r="H102" t="str">
        <f t="shared" si="81"/>
        <v>N</v>
      </c>
      <c r="I102">
        <f t="shared" si="82"/>
        <v>0</v>
      </c>
      <c r="Q102" t="s">
        <v>5</v>
      </c>
      <c r="S102" s="3">
        <v>0</v>
      </c>
      <c r="T102">
        <f t="shared" si="83"/>
        <v>-1</v>
      </c>
      <c r="U102" t="str">
        <f t="shared" si="84"/>
        <v>N</v>
      </c>
      <c r="V102">
        <f t="shared" si="85"/>
        <v>0</v>
      </c>
    </row>
    <row r="103" spans="2:22" x14ac:dyDescent="0.35">
      <c r="D103" s="2" t="s">
        <v>6</v>
      </c>
      <c r="E103">
        <v>8.022E-2</v>
      </c>
      <c r="F103">
        <v>0</v>
      </c>
      <c r="G103">
        <f t="shared" si="80"/>
        <v>-1</v>
      </c>
      <c r="H103" t="str">
        <f t="shared" si="81"/>
        <v>N</v>
      </c>
      <c r="I103">
        <f t="shared" si="82"/>
        <v>0</v>
      </c>
      <c r="Q103" s="2" t="s">
        <v>6</v>
      </c>
      <c r="S103">
        <v>0</v>
      </c>
      <c r="T103">
        <f t="shared" si="83"/>
        <v>-1</v>
      </c>
      <c r="U103" t="str">
        <f t="shared" si="84"/>
        <v>N</v>
      </c>
      <c r="V103">
        <f t="shared" si="85"/>
        <v>0</v>
      </c>
    </row>
    <row r="104" spans="2:22" x14ac:dyDescent="0.35">
      <c r="D104" t="s">
        <v>7</v>
      </c>
      <c r="E104">
        <f>E101+E102</f>
        <v>0.91977900000000001</v>
      </c>
      <c r="F104" s="4">
        <v>0</v>
      </c>
      <c r="G104">
        <f t="shared" si="80"/>
        <v>-1</v>
      </c>
      <c r="H104" t="str">
        <f t="shared" si="81"/>
        <v>N</v>
      </c>
      <c r="I104">
        <f t="shared" si="82"/>
        <v>0</v>
      </c>
      <c r="Q104" t="s">
        <v>7</v>
      </c>
      <c r="S104" s="4">
        <v>0</v>
      </c>
      <c r="T104">
        <f t="shared" si="83"/>
        <v>-1</v>
      </c>
      <c r="U104" t="str">
        <f t="shared" si="84"/>
        <v>N</v>
      </c>
      <c r="V104">
        <f t="shared" si="85"/>
        <v>0</v>
      </c>
    </row>
    <row r="105" spans="2:22" x14ac:dyDescent="0.35">
      <c r="D105" t="s">
        <v>8</v>
      </c>
      <c r="E105">
        <f>E102+E103</f>
        <v>0.25228400000000001</v>
      </c>
      <c r="F105" s="4">
        <v>0</v>
      </c>
      <c r="G105">
        <f t="shared" si="80"/>
        <v>-1</v>
      </c>
      <c r="H105" t="str">
        <f t="shared" si="81"/>
        <v>N</v>
      </c>
      <c r="I105">
        <f t="shared" si="82"/>
        <v>0</v>
      </c>
      <c r="Q105" t="s">
        <v>8</v>
      </c>
      <c r="S105" s="4">
        <v>0</v>
      </c>
      <c r="T105">
        <f t="shared" si="83"/>
        <v>-1</v>
      </c>
      <c r="U105" t="str">
        <f t="shared" si="84"/>
        <v>N</v>
      </c>
      <c r="V105">
        <f t="shared" si="85"/>
        <v>0</v>
      </c>
    </row>
    <row r="106" spans="2:22" x14ac:dyDescent="0.35">
      <c r="D106" t="s">
        <v>11</v>
      </c>
      <c r="E106">
        <f>E101+E103</f>
        <v>0.82793499999999998</v>
      </c>
      <c r="F106" s="4">
        <v>0</v>
      </c>
      <c r="G106">
        <f t="shared" si="80"/>
        <v>-1</v>
      </c>
      <c r="H106" t="str">
        <f t="shared" si="81"/>
        <v>N</v>
      </c>
      <c r="I106">
        <f t="shared" si="82"/>
        <v>0</v>
      </c>
      <c r="Q106" t="s">
        <v>11</v>
      </c>
      <c r="S106" s="4">
        <v>0</v>
      </c>
      <c r="T106">
        <f t="shared" si="83"/>
        <v>-1</v>
      </c>
      <c r="U106" t="str">
        <f t="shared" si="84"/>
        <v>N</v>
      </c>
      <c r="V106">
        <f t="shared" si="85"/>
        <v>0</v>
      </c>
    </row>
    <row r="108" spans="2:22" x14ac:dyDescent="0.35">
      <c r="B108" t="s">
        <v>53</v>
      </c>
      <c r="C108" t="s">
        <v>54</v>
      </c>
      <c r="D108" t="s">
        <v>4</v>
      </c>
      <c r="E108">
        <v>0.65064100000000002</v>
      </c>
      <c r="F108" s="3">
        <v>0</v>
      </c>
      <c r="G108">
        <f t="shared" ref="G108:G113" si="86">(E108*F108)-1</f>
        <v>-1</v>
      </c>
      <c r="H108" t="str">
        <f t="shared" ref="H108:H113" si="87">IF(G108&gt;0.05,"Y","N")</f>
        <v>N</v>
      </c>
      <c r="I108">
        <f t="shared" ref="I108:I113" si="88">IF(H108="N",0,IFERROR(25*0.1*MAX(G108/(F108-1),0),0))</f>
        <v>0</v>
      </c>
      <c r="O108" t="s">
        <v>52</v>
      </c>
      <c r="P108" t="s">
        <v>54</v>
      </c>
      <c r="Q108" t="s">
        <v>4</v>
      </c>
      <c r="S108" s="3">
        <v>0</v>
      </c>
      <c r="T108">
        <f t="shared" ref="T108:T113" si="89">(R108*S108)-1</f>
        <v>-1</v>
      </c>
      <c r="U108" t="str">
        <f t="shared" ref="U108:U113" si="90">IF(T108&gt;0.05,"Y","N")</f>
        <v>N</v>
      </c>
      <c r="V108">
        <f t="shared" ref="V108:V113" si="91">IF(U108="N",0,IFERROR(25*0.1*MAX(T108/(S108-1),0),0))</f>
        <v>0</v>
      </c>
    </row>
    <row r="109" spans="2:22" x14ac:dyDescent="0.35">
      <c r="D109" t="s">
        <v>5</v>
      </c>
      <c r="E109">
        <v>0.21104899999999999</v>
      </c>
      <c r="F109" s="3">
        <v>0</v>
      </c>
      <c r="G109">
        <f t="shared" si="86"/>
        <v>-1</v>
      </c>
      <c r="H109" t="str">
        <f t="shared" si="87"/>
        <v>N</v>
      </c>
      <c r="I109">
        <f t="shared" si="88"/>
        <v>0</v>
      </c>
      <c r="Q109" t="s">
        <v>5</v>
      </c>
      <c r="S109" s="3">
        <v>0</v>
      </c>
      <c r="T109">
        <f t="shared" si="89"/>
        <v>-1</v>
      </c>
      <c r="U109" t="str">
        <f t="shared" si="90"/>
        <v>N</v>
      </c>
      <c r="V109">
        <f t="shared" si="91"/>
        <v>0</v>
      </c>
    </row>
    <row r="110" spans="2:22" x14ac:dyDescent="0.35">
      <c r="D110" s="2" t="s">
        <v>6</v>
      </c>
      <c r="E110">
        <v>0.13830999999999999</v>
      </c>
      <c r="F110">
        <v>0</v>
      </c>
      <c r="G110">
        <f t="shared" si="86"/>
        <v>-1</v>
      </c>
      <c r="H110" t="str">
        <f t="shared" si="87"/>
        <v>N</v>
      </c>
      <c r="I110">
        <f t="shared" si="88"/>
        <v>0</v>
      </c>
      <c r="Q110" s="2" t="s">
        <v>6</v>
      </c>
      <c r="S110">
        <v>0</v>
      </c>
      <c r="T110">
        <f t="shared" si="89"/>
        <v>-1</v>
      </c>
      <c r="U110" t="str">
        <f t="shared" si="90"/>
        <v>N</v>
      </c>
      <c r="V110">
        <f t="shared" si="91"/>
        <v>0</v>
      </c>
    </row>
    <row r="111" spans="2:22" x14ac:dyDescent="0.35">
      <c r="D111" t="s">
        <v>7</v>
      </c>
      <c r="E111">
        <f>E108+E109</f>
        <v>0.86169000000000007</v>
      </c>
      <c r="F111" s="4">
        <v>0</v>
      </c>
      <c r="G111">
        <f t="shared" si="86"/>
        <v>-1</v>
      </c>
      <c r="H111" t="str">
        <f t="shared" si="87"/>
        <v>N</v>
      </c>
      <c r="I111">
        <f t="shared" si="88"/>
        <v>0</v>
      </c>
      <c r="Q111" t="s">
        <v>7</v>
      </c>
      <c r="S111" s="4">
        <v>0</v>
      </c>
      <c r="T111">
        <f t="shared" si="89"/>
        <v>-1</v>
      </c>
      <c r="U111" t="str">
        <f t="shared" si="90"/>
        <v>N</v>
      </c>
      <c r="V111">
        <f t="shared" si="91"/>
        <v>0</v>
      </c>
    </row>
    <row r="112" spans="2:22" x14ac:dyDescent="0.35">
      <c r="D112" t="s">
        <v>8</v>
      </c>
      <c r="E112">
        <f>E109+E110</f>
        <v>0.34935899999999998</v>
      </c>
      <c r="F112" s="4">
        <v>0</v>
      </c>
      <c r="G112">
        <f t="shared" si="86"/>
        <v>-1</v>
      </c>
      <c r="H112" t="str">
        <f t="shared" si="87"/>
        <v>N</v>
      </c>
      <c r="I112">
        <f t="shared" si="88"/>
        <v>0</v>
      </c>
      <c r="Q112" t="s">
        <v>8</v>
      </c>
      <c r="S112" s="4">
        <v>0</v>
      </c>
      <c r="T112">
        <f t="shared" si="89"/>
        <v>-1</v>
      </c>
      <c r="U112" t="str">
        <f t="shared" si="90"/>
        <v>N</v>
      </c>
      <c r="V112">
        <f t="shared" si="91"/>
        <v>0</v>
      </c>
    </row>
    <row r="113" spans="2:22" x14ac:dyDescent="0.35">
      <c r="D113" t="s">
        <v>11</v>
      </c>
      <c r="E113">
        <f>E108+E110</f>
        <v>0.78895099999999996</v>
      </c>
      <c r="F113" s="4">
        <v>0</v>
      </c>
      <c r="G113">
        <f t="shared" si="86"/>
        <v>-1</v>
      </c>
      <c r="H113" t="str">
        <f t="shared" si="87"/>
        <v>N</v>
      </c>
      <c r="I113">
        <f t="shared" si="88"/>
        <v>0</v>
      </c>
      <c r="Q113" t="s">
        <v>11</v>
      </c>
      <c r="S113" s="4">
        <v>0</v>
      </c>
      <c r="T113">
        <f t="shared" si="89"/>
        <v>-1</v>
      </c>
      <c r="U113" t="str">
        <f t="shared" si="90"/>
        <v>N</v>
      </c>
      <c r="V113">
        <f t="shared" si="91"/>
        <v>0</v>
      </c>
    </row>
    <row r="115" spans="2:22" x14ac:dyDescent="0.35">
      <c r="B115" t="s">
        <v>55</v>
      </c>
      <c r="C115" t="s">
        <v>56</v>
      </c>
      <c r="D115" t="s">
        <v>4</v>
      </c>
      <c r="E115">
        <v>0.70838000000000001</v>
      </c>
      <c r="F115" s="3">
        <v>0</v>
      </c>
      <c r="G115">
        <f t="shared" ref="G115:G120" si="92">(E115*F115)-1</f>
        <v>-1</v>
      </c>
      <c r="H115" t="str">
        <f t="shared" ref="H115:H120" si="93">IF(G115&gt;0.05,"Y","N")</f>
        <v>N</v>
      </c>
      <c r="I115">
        <f t="shared" ref="I115:I120" si="94">IF(H115="N",0,IFERROR(25*0.1*MAX(G115/(F115-1),0),0))</f>
        <v>0</v>
      </c>
      <c r="O115" t="s">
        <v>58</v>
      </c>
      <c r="P115" t="s">
        <v>56</v>
      </c>
      <c r="Q115" t="s">
        <v>4</v>
      </c>
      <c r="S115" s="3">
        <v>0</v>
      </c>
      <c r="T115">
        <f t="shared" ref="T115:T120" si="95">(R115*S115)-1</f>
        <v>-1</v>
      </c>
      <c r="U115" t="str">
        <f t="shared" ref="U115:U120" si="96">IF(T115&gt;0.05,"Y","N")</f>
        <v>N</v>
      </c>
      <c r="V115">
        <f t="shared" ref="V115:V120" si="97">IF(U115="N",0,IFERROR(25*0.1*MAX(T115/(S115-1),0),0))</f>
        <v>0</v>
      </c>
    </row>
    <row r="116" spans="2:22" x14ac:dyDescent="0.35">
      <c r="D116" t="s">
        <v>5</v>
      </c>
      <c r="E116">
        <v>0.18909500000000001</v>
      </c>
      <c r="F116" s="3">
        <v>0</v>
      </c>
      <c r="G116">
        <f t="shared" si="92"/>
        <v>-1</v>
      </c>
      <c r="H116" t="str">
        <f t="shared" si="93"/>
        <v>N</v>
      </c>
      <c r="I116">
        <f t="shared" si="94"/>
        <v>0</v>
      </c>
      <c r="Q116" t="s">
        <v>5</v>
      </c>
      <c r="S116" s="3">
        <v>0</v>
      </c>
      <c r="T116">
        <f t="shared" si="95"/>
        <v>-1</v>
      </c>
      <c r="U116" t="str">
        <f t="shared" si="96"/>
        <v>N</v>
      </c>
      <c r="V116">
        <f t="shared" si="97"/>
        <v>0</v>
      </c>
    </row>
    <row r="117" spans="2:22" x14ac:dyDescent="0.35">
      <c r="D117" s="2" t="s">
        <v>6</v>
      </c>
      <c r="E117">
        <v>0.10252500000000001</v>
      </c>
      <c r="F117">
        <v>0</v>
      </c>
      <c r="G117">
        <f t="shared" si="92"/>
        <v>-1</v>
      </c>
      <c r="H117" t="str">
        <f t="shared" si="93"/>
        <v>N</v>
      </c>
      <c r="I117">
        <f t="shared" si="94"/>
        <v>0</v>
      </c>
      <c r="Q117" s="2" t="s">
        <v>6</v>
      </c>
      <c r="S117">
        <v>0</v>
      </c>
      <c r="T117">
        <f t="shared" si="95"/>
        <v>-1</v>
      </c>
      <c r="U117" t="str">
        <f t="shared" si="96"/>
        <v>N</v>
      </c>
      <c r="V117">
        <f t="shared" si="97"/>
        <v>0</v>
      </c>
    </row>
    <row r="118" spans="2:22" x14ac:dyDescent="0.35">
      <c r="D118" t="s">
        <v>7</v>
      </c>
      <c r="E118">
        <f>E115+E116</f>
        <v>0.89747500000000002</v>
      </c>
      <c r="F118" s="4">
        <v>0</v>
      </c>
      <c r="G118">
        <f t="shared" si="92"/>
        <v>-1</v>
      </c>
      <c r="H118" t="str">
        <f t="shared" si="93"/>
        <v>N</v>
      </c>
      <c r="I118">
        <f t="shared" si="94"/>
        <v>0</v>
      </c>
      <c r="Q118" t="s">
        <v>7</v>
      </c>
      <c r="S118" s="4">
        <v>0</v>
      </c>
      <c r="T118">
        <f t="shared" si="95"/>
        <v>-1</v>
      </c>
      <c r="U118" t="str">
        <f t="shared" si="96"/>
        <v>N</v>
      </c>
      <c r="V118">
        <f t="shared" si="97"/>
        <v>0</v>
      </c>
    </row>
    <row r="119" spans="2:22" x14ac:dyDescent="0.35">
      <c r="D119" t="s">
        <v>8</v>
      </c>
      <c r="E119">
        <f>E116+E117</f>
        <v>0.29161999999999999</v>
      </c>
      <c r="F119" s="4">
        <v>0</v>
      </c>
      <c r="G119">
        <f t="shared" si="92"/>
        <v>-1</v>
      </c>
      <c r="H119" t="str">
        <f t="shared" si="93"/>
        <v>N</v>
      </c>
      <c r="I119">
        <f t="shared" si="94"/>
        <v>0</v>
      </c>
      <c r="Q119" t="s">
        <v>8</v>
      </c>
      <c r="S119" s="4">
        <v>0</v>
      </c>
      <c r="T119">
        <f t="shared" si="95"/>
        <v>-1</v>
      </c>
      <c r="U119" t="str">
        <f t="shared" si="96"/>
        <v>N</v>
      </c>
      <c r="V119">
        <f t="shared" si="97"/>
        <v>0</v>
      </c>
    </row>
    <row r="120" spans="2:22" x14ac:dyDescent="0.35">
      <c r="D120" t="s">
        <v>11</v>
      </c>
      <c r="E120">
        <f>E115+E117</f>
        <v>0.81090499999999999</v>
      </c>
      <c r="F120" s="4">
        <v>0</v>
      </c>
      <c r="G120">
        <f t="shared" si="92"/>
        <v>-1</v>
      </c>
      <c r="H120" t="str">
        <f t="shared" si="93"/>
        <v>N</v>
      </c>
      <c r="I120">
        <f t="shared" si="94"/>
        <v>0</v>
      </c>
      <c r="Q120" t="s">
        <v>11</v>
      </c>
      <c r="S120" s="4">
        <v>0</v>
      </c>
      <c r="T120">
        <f t="shared" si="95"/>
        <v>-1</v>
      </c>
      <c r="U120" t="str">
        <f t="shared" si="96"/>
        <v>N</v>
      </c>
      <c r="V120">
        <f t="shared" si="97"/>
        <v>0</v>
      </c>
    </row>
    <row r="122" spans="2:22" x14ac:dyDescent="0.35">
      <c r="B122" t="s">
        <v>57</v>
      </c>
      <c r="C122" t="s">
        <v>58</v>
      </c>
      <c r="D122" t="s">
        <v>4</v>
      </c>
      <c r="E122">
        <v>0.145622</v>
      </c>
      <c r="F122" s="3">
        <v>0</v>
      </c>
      <c r="G122">
        <f t="shared" ref="G122:G127" si="98">(E122*F122)-1</f>
        <v>-1</v>
      </c>
      <c r="H122" t="str">
        <f t="shared" ref="H122:H127" si="99">IF(G122&gt;0.05,"Y","N")</f>
        <v>N</v>
      </c>
      <c r="I122">
        <f t="shared" ref="I122:I127" si="100">IF(H122="N",0,IFERROR(25*0.1*MAX(G122/(F122-1),0),0))</f>
        <v>0</v>
      </c>
      <c r="O122" t="s">
        <v>55</v>
      </c>
      <c r="P122" t="s">
        <v>57</v>
      </c>
      <c r="Q122" t="s">
        <v>4</v>
      </c>
      <c r="S122" s="3">
        <v>0</v>
      </c>
      <c r="T122">
        <f t="shared" ref="T122:T127" si="101">(R122*S122)-1</f>
        <v>-1</v>
      </c>
      <c r="U122" t="str">
        <f t="shared" ref="U122:U127" si="102">IF(T122&gt;0.05,"Y","N")</f>
        <v>N</v>
      </c>
      <c r="V122">
        <f t="shared" ref="V122:V127" si="103">IF(U122="N",0,IFERROR(25*0.1*MAX(T122/(S122-1),0),0))</f>
        <v>0</v>
      </c>
    </row>
    <row r="123" spans="2:22" x14ac:dyDescent="0.35">
      <c r="D123" t="s">
        <v>5</v>
      </c>
      <c r="E123">
        <v>0.22800500000000001</v>
      </c>
      <c r="F123" s="3">
        <v>0</v>
      </c>
      <c r="G123">
        <f t="shared" si="98"/>
        <v>-1</v>
      </c>
      <c r="H123" t="str">
        <f t="shared" si="99"/>
        <v>N</v>
      </c>
      <c r="I123">
        <f t="shared" si="100"/>
        <v>0</v>
      </c>
      <c r="Q123" t="s">
        <v>5</v>
      </c>
      <c r="S123" s="3">
        <v>0</v>
      </c>
      <c r="T123">
        <f t="shared" si="101"/>
        <v>-1</v>
      </c>
      <c r="U123" t="str">
        <f t="shared" si="102"/>
        <v>N</v>
      </c>
      <c r="V123">
        <f t="shared" si="103"/>
        <v>0</v>
      </c>
    </row>
    <row r="124" spans="2:22" x14ac:dyDescent="0.35">
      <c r="D124" s="2" t="s">
        <v>6</v>
      </c>
      <c r="E124">
        <v>0.62637299999999996</v>
      </c>
      <c r="F124">
        <v>0</v>
      </c>
      <c r="G124">
        <f t="shared" si="98"/>
        <v>-1</v>
      </c>
      <c r="H124" t="str">
        <f t="shared" si="99"/>
        <v>N</v>
      </c>
      <c r="I124">
        <f t="shared" si="100"/>
        <v>0</v>
      </c>
      <c r="Q124" s="2" t="s">
        <v>6</v>
      </c>
      <c r="S124">
        <v>0</v>
      </c>
      <c r="T124">
        <f t="shared" si="101"/>
        <v>-1</v>
      </c>
      <c r="U124" t="str">
        <f t="shared" si="102"/>
        <v>N</v>
      </c>
      <c r="V124">
        <f t="shared" si="103"/>
        <v>0</v>
      </c>
    </row>
    <row r="125" spans="2:22" x14ac:dyDescent="0.35">
      <c r="D125" t="s">
        <v>7</v>
      </c>
      <c r="E125">
        <f>E122+E123</f>
        <v>0.37362700000000004</v>
      </c>
      <c r="F125" s="4">
        <v>0</v>
      </c>
      <c r="G125">
        <f t="shared" si="98"/>
        <v>-1</v>
      </c>
      <c r="H125" t="str">
        <f t="shared" si="99"/>
        <v>N</v>
      </c>
      <c r="I125">
        <f t="shared" si="100"/>
        <v>0</v>
      </c>
      <c r="Q125" t="s">
        <v>7</v>
      </c>
      <c r="S125" s="4">
        <v>0</v>
      </c>
      <c r="T125">
        <f t="shared" si="101"/>
        <v>-1</v>
      </c>
      <c r="U125" t="str">
        <f t="shared" si="102"/>
        <v>N</v>
      </c>
      <c r="V125">
        <f t="shared" si="103"/>
        <v>0</v>
      </c>
    </row>
    <row r="126" spans="2:22" x14ac:dyDescent="0.35">
      <c r="D126" t="s">
        <v>8</v>
      </c>
      <c r="E126">
        <f>E123+E124</f>
        <v>0.85437799999999997</v>
      </c>
      <c r="F126" s="4">
        <v>0</v>
      </c>
      <c r="G126">
        <f t="shared" si="98"/>
        <v>-1</v>
      </c>
      <c r="H126" t="str">
        <f t="shared" si="99"/>
        <v>N</v>
      </c>
      <c r="I126">
        <f t="shared" si="100"/>
        <v>0</v>
      </c>
      <c r="Q126" t="s">
        <v>8</v>
      </c>
      <c r="S126" s="4">
        <v>0</v>
      </c>
      <c r="T126">
        <f t="shared" si="101"/>
        <v>-1</v>
      </c>
      <c r="U126" t="str">
        <f t="shared" si="102"/>
        <v>N</v>
      </c>
      <c r="V126">
        <f t="shared" si="103"/>
        <v>0</v>
      </c>
    </row>
    <row r="127" spans="2:22" x14ac:dyDescent="0.35">
      <c r="D127" t="s">
        <v>11</v>
      </c>
      <c r="E127">
        <f>E122+E124</f>
        <v>0.77199499999999999</v>
      </c>
      <c r="F127" s="4">
        <v>0</v>
      </c>
      <c r="G127">
        <f t="shared" si="98"/>
        <v>-1</v>
      </c>
      <c r="H127" t="str">
        <f t="shared" si="99"/>
        <v>N</v>
      </c>
      <c r="I127">
        <f t="shared" si="100"/>
        <v>0</v>
      </c>
      <c r="Q127" t="s">
        <v>11</v>
      </c>
      <c r="S127" s="4">
        <v>0</v>
      </c>
      <c r="T127">
        <f t="shared" si="101"/>
        <v>-1</v>
      </c>
      <c r="U127" t="str">
        <f t="shared" si="102"/>
        <v>N</v>
      </c>
      <c r="V127">
        <f t="shared" si="103"/>
        <v>0</v>
      </c>
    </row>
    <row r="129" spans="2:22" x14ac:dyDescent="0.35">
      <c r="B129" t="s">
        <v>59</v>
      </c>
      <c r="C129" t="s">
        <v>60</v>
      </c>
      <c r="D129" t="s">
        <v>4</v>
      </c>
      <c r="E129">
        <v>0.76878199999999997</v>
      </c>
      <c r="F129" s="3">
        <v>0</v>
      </c>
      <c r="G129">
        <f t="shared" ref="G129:G134" si="104">(E129*F129)-1</f>
        <v>-1</v>
      </c>
      <c r="H129" t="str">
        <f t="shared" ref="H129:H134" si="105">IF(G129&gt;0.05,"Y","N")</f>
        <v>N</v>
      </c>
      <c r="I129">
        <f t="shared" ref="I129:I134" si="106">IF(H129="N",0,IFERROR(25*0.1*MAX(G129/(F129-1),0),0))</f>
        <v>0</v>
      </c>
      <c r="O129" t="s">
        <v>59</v>
      </c>
      <c r="P129" t="s">
        <v>61</v>
      </c>
      <c r="Q129" t="s">
        <v>4</v>
      </c>
      <c r="S129" s="3">
        <v>0</v>
      </c>
      <c r="T129">
        <f t="shared" ref="T129:T134" si="107">(R129*S129)-1</f>
        <v>-1</v>
      </c>
      <c r="U129" t="str">
        <f t="shared" ref="U129:U134" si="108">IF(T129&gt;0.05,"Y","N")</f>
        <v>N</v>
      </c>
      <c r="V129">
        <f t="shared" ref="V129:V134" si="109">IF(U129="N",0,IFERROR(25*0.1*MAX(T129/(S129-1),0),0))</f>
        <v>0</v>
      </c>
    </row>
    <row r="130" spans="2:22" x14ac:dyDescent="0.35">
      <c r="D130" t="s">
        <v>5</v>
      </c>
      <c r="E130">
        <v>0.16222600000000001</v>
      </c>
      <c r="F130" s="3">
        <v>0</v>
      </c>
      <c r="G130">
        <f t="shared" si="104"/>
        <v>-1</v>
      </c>
      <c r="H130" t="str">
        <f t="shared" si="105"/>
        <v>N</v>
      </c>
      <c r="I130">
        <f t="shared" si="106"/>
        <v>0</v>
      </c>
      <c r="Q130" t="s">
        <v>5</v>
      </c>
      <c r="S130" s="3">
        <v>0</v>
      </c>
      <c r="T130">
        <f t="shared" si="107"/>
        <v>-1</v>
      </c>
      <c r="U130" t="str">
        <f t="shared" si="108"/>
        <v>N</v>
      </c>
      <c r="V130">
        <f t="shared" si="109"/>
        <v>0</v>
      </c>
    </row>
    <row r="131" spans="2:22" x14ac:dyDescent="0.35">
      <c r="D131" s="2" t="s">
        <v>6</v>
      </c>
      <c r="E131">
        <v>6.8991999999999998E-2</v>
      </c>
      <c r="F131">
        <v>0</v>
      </c>
      <c r="G131">
        <f t="shared" si="104"/>
        <v>-1</v>
      </c>
      <c r="H131" t="str">
        <f t="shared" si="105"/>
        <v>N</v>
      </c>
      <c r="I131">
        <f t="shared" si="106"/>
        <v>0</v>
      </c>
      <c r="Q131" s="2" t="s">
        <v>6</v>
      </c>
      <c r="S131">
        <v>0</v>
      </c>
      <c r="T131">
        <f t="shared" si="107"/>
        <v>-1</v>
      </c>
      <c r="U131" t="str">
        <f t="shared" si="108"/>
        <v>N</v>
      </c>
      <c r="V131">
        <f t="shared" si="109"/>
        <v>0</v>
      </c>
    </row>
    <row r="132" spans="2:22" x14ac:dyDescent="0.35">
      <c r="D132" t="s">
        <v>7</v>
      </c>
      <c r="E132">
        <f>E129+E130</f>
        <v>0.93100799999999995</v>
      </c>
      <c r="F132" s="4">
        <v>0</v>
      </c>
      <c r="G132">
        <f t="shared" si="104"/>
        <v>-1</v>
      </c>
      <c r="H132" t="str">
        <f t="shared" si="105"/>
        <v>N</v>
      </c>
      <c r="I132">
        <f t="shared" si="106"/>
        <v>0</v>
      </c>
      <c r="Q132" t="s">
        <v>7</v>
      </c>
      <c r="S132" s="4">
        <v>0</v>
      </c>
      <c r="T132">
        <f t="shared" si="107"/>
        <v>-1</v>
      </c>
      <c r="U132" t="str">
        <f t="shared" si="108"/>
        <v>N</v>
      </c>
      <c r="V132">
        <f t="shared" si="109"/>
        <v>0</v>
      </c>
    </row>
    <row r="133" spans="2:22" x14ac:dyDescent="0.35">
      <c r="D133" t="s">
        <v>8</v>
      </c>
      <c r="E133">
        <f>E130+E131</f>
        <v>0.23121800000000001</v>
      </c>
      <c r="F133" s="4">
        <v>0</v>
      </c>
      <c r="G133">
        <f t="shared" si="104"/>
        <v>-1</v>
      </c>
      <c r="H133" t="str">
        <f t="shared" si="105"/>
        <v>N</v>
      </c>
      <c r="I133">
        <f t="shared" si="106"/>
        <v>0</v>
      </c>
      <c r="Q133" t="s">
        <v>8</v>
      </c>
      <c r="S133" s="4">
        <v>0</v>
      </c>
      <c r="T133">
        <f t="shared" si="107"/>
        <v>-1</v>
      </c>
      <c r="U133" t="str">
        <f t="shared" si="108"/>
        <v>N</v>
      </c>
      <c r="V133">
        <f t="shared" si="109"/>
        <v>0</v>
      </c>
    </row>
    <row r="134" spans="2:22" x14ac:dyDescent="0.35">
      <c r="D134" t="s">
        <v>11</v>
      </c>
      <c r="E134">
        <f>E129+E131</f>
        <v>0.83777400000000002</v>
      </c>
      <c r="F134" s="4">
        <v>0</v>
      </c>
      <c r="G134">
        <f t="shared" si="104"/>
        <v>-1</v>
      </c>
      <c r="H134" t="str">
        <f t="shared" si="105"/>
        <v>N</v>
      </c>
      <c r="I134">
        <f t="shared" si="106"/>
        <v>0</v>
      </c>
      <c r="Q134" t="s">
        <v>11</v>
      </c>
      <c r="S134" s="4">
        <v>0</v>
      </c>
      <c r="T134">
        <f t="shared" si="107"/>
        <v>-1</v>
      </c>
      <c r="U134" t="str">
        <f t="shared" si="108"/>
        <v>N</v>
      </c>
      <c r="V134">
        <f t="shared" si="109"/>
        <v>0</v>
      </c>
    </row>
    <row r="136" spans="2:22" x14ac:dyDescent="0.35">
      <c r="B136" t="s">
        <v>61</v>
      </c>
      <c r="C136" t="s">
        <v>62</v>
      </c>
      <c r="D136" t="s">
        <v>4</v>
      </c>
      <c r="E136">
        <v>0.71494599999999997</v>
      </c>
      <c r="F136" s="3">
        <v>0</v>
      </c>
      <c r="G136">
        <f t="shared" ref="G136:G141" si="110">(E136*F136)-1</f>
        <v>-1</v>
      </c>
      <c r="H136" t="str">
        <f t="shared" ref="H136:H141" si="111">IF(G136&gt;0.05,"Y","N")</f>
        <v>N</v>
      </c>
      <c r="I136">
        <f t="shared" ref="I136:I141" si="112">IF(H136="N",0,IFERROR(25*0.1*MAX(G136/(F136-1),0),0))</f>
        <v>0</v>
      </c>
      <c r="O136" t="s">
        <v>62</v>
      </c>
      <c r="P136" t="s">
        <v>60</v>
      </c>
      <c r="Q136" t="s">
        <v>4</v>
      </c>
      <c r="S136" s="3">
        <v>0</v>
      </c>
      <c r="T136">
        <f t="shared" ref="T136:T141" si="113">(R136*S136)-1</f>
        <v>-1</v>
      </c>
      <c r="U136" t="str">
        <f t="shared" ref="U136:U141" si="114">IF(T136&gt;0.05,"Y","N")</f>
        <v>N</v>
      </c>
      <c r="V136">
        <f t="shared" ref="V136:V141" si="115">IF(U136="N",0,IFERROR(25*0.1*MAX(T136/(S136-1),0),0))</f>
        <v>0</v>
      </c>
    </row>
    <row r="137" spans="2:22" x14ac:dyDescent="0.35">
      <c r="D137" t="s">
        <v>5</v>
      </c>
      <c r="E137">
        <v>0.18637100000000001</v>
      </c>
      <c r="F137" s="3">
        <v>0</v>
      </c>
      <c r="G137">
        <f t="shared" si="110"/>
        <v>-1</v>
      </c>
      <c r="H137" t="str">
        <f t="shared" si="111"/>
        <v>N</v>
      </c>
      <c r="I137">
        <f t="shared" si="112"/>
        <v>0</v>
      </c>
      <c r="Q137" t="s">
        <v>5</v>
      </c>
      <c r="S137" s="3">
        <v>0</v>
      </c>
      <c r="T137">
        <f t="shared" si="113"/>
        <v>-1</v>
      </c>
      <c r="U137" t="str">
        <f t="shared" si="114"/>
        <v>N</v>
      </c>
      <c r="V137">
        <f t="shared" si="115"/>
        <v>0</v>
      </c>
    </row>
    <row r="138" spans="2:22" x14ac:dyDescent="0.35">
      <c r="D138" s="2" t="s">
        <v>6</v>
      </c>
      <c r="E138">
        <v>9.8683000000000007E-2</v>
      </c>
      <c r="F138">
        <v>0</v>
      </c>
      <c r="G138">
        <f t="shared" si="110"/>
        <v>-1</v>
      </c>
      <c r="H138" t="str">
        <f t="shared" si="111"/>
        <v>N</v>
      </c>
      <c r="I138">
        <f t="shared" si="112"/>
        <v>0</v>
      </c>
      <c r="Q138" s="2" t="s">
        <v>6</v>
      </c>
      <c r="S138">
        <v>0</v>
      </c>
      <c r="T138">
        <f t="shared" si="113"/>
        <v>-1</v>
      </c>
      <c r="U138" t="str">
        <f t="shared" si="114"/>
        <v>N</v>
      </c>
      <c r="V138">
        <f t="shared" si="115"/>
        <v>0</v>
      </c>
    </row>
    <row r="139" spans="2:22" x14ac:dyDescent="0.35">
      <c r="D139" t="s">
        <v>7</v>
      </c>
      <c r="E139">
        <f>E136+E137</f>
        <v>0.90131699999999992</v>
      </c>
      <c r="F139" s="4">
        <v>0</v>
      </c>
      <c r="G139">
        <f t="shared" si="110"/>
        <v>-1</v>
      </c>
      <c r="H139" t="str">
        <f t="shared" si="111"/>
        <v>N</v>
      </c>
      <c r="I139">
        <f t="shared" si="112"/>
        <v>0</v>
      </c>
      <c r="Q139" t="s">
        <v>7</v>
      </c>
      <c r="S139" s="4">
        <v>0</v>
      </c>
      <c r="T139">
        <f t="shared" si="113"/>
        <v>-1</v>
      </c>
      <c r="U139" t="str">
        <f t="shared" si="114"/>
        <v>N</v>
      </c>
      <c r="V139">
        <f t="shared" si="115"/>
        <v>0</v>
      </c>
    </row>
    <row r="140" spans="2:22" x14ac:dyDescent="0.35">
      <c r="D140" t="s">
        <v>8</v>
      </c>
      <c r="E140">
        <f>E137+E138</f>
        <v>0.28505400000000003</v>
      </c>
      <c r="F140" s="4">
        <v>0</v>
      </c>
      <c r="G140">
        <f t="shared" si="110"/>
        <v>-1</v>
      </c>
      <c r="H140" t="str">
        <f t="shared" si="111"/>
        <v>N</v>
      </c>
      <c r="I140">
        <f t="shared" si="112"/>
        <v>0</v>
      </c>
      <c r="Q140" t="s">
        <v>8</v>
      </c>
      <c r="S140" s="4">
        <v>0</v>
      </c>
      <c r="T140">
        <f t="shared" si="113"/>
        <v>-1</v>
      </c>
      <c r="U140" t="str">
        <f t="shared" si="114"/>
        <v>N</v>
      </c>
      <c r="V140">
        <f t="shared" si="115"/>
        <v>0</v>
      </c>
    </row>
    <row r="141" spans="2:22" x14ac:dyDescent="0.35">
      <c r="D141" t="s">
        <v>11</v>
      </c>
      <c r="E141">
        <f>E136+E138</f>
        <v>0.81362899999999994</v>
      </c>
      <c r="F141" s="4">
        <v>0</v>
      </c>
      <c r="G141">
        <f t="shared" si="110"/>
        <v>-1</v>
      </c>
      <c r="H141" t="str">
        <f t="shared" si="111"/>
        <v>N</v>
      </c>
      <c r="I141">
        <f t="shared" si="112"/>
        <v>0</v>
      </c>
      <c r="Q141" t="s">
        <v>11</v>
      </c>
      <c r="S141" s="4">
        <v>0</v>
      </c>
      <c r="T141">
        <f t="shared" si="113"/>
        <v>-1</v>
      </c>
      <c r="U141" t="str">
        <f t="shared" si="114"/>
        <v>N</v>
      </c>
      <c r="V141">
        <f t="shared" si="115"/>
        <v>0</v>
      </c>
    </row>
    <row r="143" spans="2:22" x14ac:dyDescent="0.35">
      <c r="B143" t="s">
        <v>63</v>
      </c>
      <c r="C143" t="s">
        <v>64</v>
      </c>
      <c r="D143" t="s">
        <v>4</v>
      </c>
      <c r="E143">
        <v>0.16050800000000001</v>
      </c>
      <c r="F143" s="3">
        <v>0</v>
      </c>
      <c r="G143">
        <f t="shared" ref="G143:G148" si="116">(E143*F143)-1</f>
        <v>-1</v>
      </c>
      <c r="H143" t="str">
        <f t="shared" ref="H143:H148" si="117">IF(G143&gt;0.05,"Y","N")</f>
        <v>N</v>
      </c>
      <c r="I143">
        <f t="shared" ref="I143:I148" si="118">IF(H143="N",0,IFERROR(25*0.1*MAX(G143/(F143-1),0),0))</f>
        <v>0</v>
      </c>
      <c r="O143" t="s">
        <v>65</v>
      </c>
      <c r="P143" t="s">
        <v>63</v>
      </c>
      <c r="Q143" t="s">
        <v>4</v>
      </c>
      <c r="S143" s="3">
        <v>0</v>
      </c>
      <c r="T143">
        <f t="shared" ref="T143:T148" si="119">(R143*S143)-1</f>
        <v>-1</v>
      </c>
      <c r="U143" t="str">
        <f t="shared" ref="U143:U148" si="120">IF(T143&gt;0.05,"Y","N")</f>
        <v>N</v>
      </c>
      <c r="V143">
        <f t="shared" ref="V143:V148" si="121">IF(U143="N",0,IFERROR(25*0.1*MAX(T143/(S143-1),0),0))</f>
        <v>0</v>
      </c>
    </row>
    <row r="144" spans="2:22" x14ac:dyDescent="0.35">
      <c r="D144" t="s">
        <v>5</v>
      </c>
      <c r="E144">
        <v>0.234099</v>
      </c>
      <c r="F144" s="3">
        <v>0</v>
      </c>
      <c r="G144">
        <f t="shared" si="116"/>
        <v>-1</v>
      </c>
      <c r="H144" t="str">
        <f t="shared" si="117"/>
        <v>N</v>
      </c>
      <c r="I144">
        <f t="shared" si="118"/>
        <v>0</v>
      </c>
      <c r="Q144" t="s">
        <v>5</v>
      </c>
      <c r="S144" s="3">
        <v>0</v>
      </c>
      <c r="T144">
        <f t="shared" si="119"/>
        <v>-1</v>
      </c>
      <c r="U144" t="str">
        <f t="shared" si="120"/>
        <v>N</v>
      </c>
      <c r="V144">
        <f t="shared" si="121"/>
        <v>0</v>
      </c>
    </row>
    <row r="145" spans="2:22" x14ac:dyDescent="0.35">
      <c r="D145" s="2" t="s">
        <v>6</v>
      </c>
      <c r="E145">
        <v>0.60539200000000004</v>
      </c>
      <c r="F145">
        <v>0</v>
      </c>
      <c r="G145">
        <f t="shared" si="116"/>
        <v>-1</v>
      </c>
      <c r="H145" t="str">
        <f t="shared" si="117"/>
        <v>N</v>
      </c>
      <c r="I145">
        <f t="shared" si="118"/>
        <v>0</v>
      </c>
      <c r="Q145" s="2" t="s">
        <v>6</v>
      </c>
      <c r="S145">
        <v>0</v>
      </c>
      <c r="T145">
        <f t="shared" si="119"/>
        <v>-1</v>
      </c>
      <c r="U145" t="str">
        <f t="shared" si="120"/>
        <v>N</v>
      </c>
      <c r="V145">
        <f t="shared" si="121"/>
        <v>0</v>
      </c>
    </row>
    <row r="146" spans="2:22" x14ac:dyDescent="0.35">
      <c r="D146" t="s">
        <v>7</v>
      </c>
      <c r="E146">
        <f>E143+E144</f>
        <v>0.39460700000000004</v>
      </c>
      <c r="F146" s="4">
        <v>0</v>
      </c>
      <c r="G146">
        <f t="shared" si="116"/>
        <v>-1</v>
      </c>
      <c r="H146" t="str">
        <f t="shared" si="117"/>
        <v>N</v>
      </c>
      <c r="I146">
        <f t="shared" si="118"/>
        <v>0</v>
      </c>
      <c r="Q146" t="s">
        <v>7</v>
      </c>
      <c r="S146" s="4">
        <v>0</v>
      </c>
      <c r="T146">
        <f t="shared" si="119"/>
        <v>-1</v>
      </c>
      <c r="U146" t="str">
        <f t="shared" si="120"/>
        <v>N</v>
      </c>
      <c r="V146">
        <f t="shared" si="121"/>
        <v>0</v>
      </c>
    </row>
    <row r="147" spans="2:22" x14ac:dyDescent="0.35">
      <c r="D147" t="s">
        <v>8</v>
      </c>
      <c r="E147">
        <f>E144+E145</f>
        <v>0.83949099999999999</v>
      </c>
      <c r="F147" s="4">
        <v>0</v>
      </c>
      <c r="G147">
        <f t="shared" si="116"/>
        <v>-1</v>
      </c>
      <c r="H147" t="str">
        <f t="shared" si="117"/>
        <v>N</v>
      </c>
      <c r="I147">
        <f t="shared" si="118"/>
        <v>0</v>
      </c>
      <c r="Q147" t="s">
        <v>8</v>
      </c>
      <c r="S147" s="4">
        <v>0</v>
      </c>
      <c r="T147">
        <f t="shared" si="119"/>
        <v>-1</v>
      </c>
      <c r="U147" t="str">
        <f t="shared" si="120"/>
        <v>N</v>
      </c>
      <c r="V147">
        <f t="shared" si="121"/>
        <v>0</v>
      </c>
    </row>
    <row r="148" spans="2:22" x14ac:dyDescent="0.35">
      <c r="D148" t="s">
        <v>11</v>
      </c>
      <c r="E148">
        <f>E143+E145</f>
        <v>0.76590000000000003</v>
      </c>
      <c r="F148" s="4">
        <v>0</v>
      </c>
      <c r="G148">
        <f t="shared" si="116"/>
        <v>-1</v>
      </c>
      <c r="H148" t="str">
        <f t="shared" si="117"/>
        <v>N</v>
      </c>
      <c r="I148">
        <f t="shared" si="118"/>
        <v>0</v>
      </c>
      <c r="Q148" t="s">
        <v>11</v>
      </c>
      <c r="S148" s="4">
        <v>0</v>
      </c>
      <c r="T148">
        <f t="shared" si="119"/>
        <v>-1</v>
      </c>
      <c r="U148" t="str">
        <f t="shared" si="120"/>
        <v>N</v>
      </c>
      <c r="V148">
        <f t="shared" si="121"/>
        <v>0</v>
      </c>
    </row>
    <row r="150" spans="2:22" x14ac:dyDescent="0.35">
      <c r="B150" t="s">
        <v>65</v>
      </c>
      <c r="C150" t="s">
        <v>66</v>
      </c>
      <c r="D150" t="s">
        <v>4</v>
      </c>
      <c r="E150">
        <v>0.509517</v>
      </c>
      <c r="F150" s="3">
        <v>0</v>
      </c>
      <c r="G150">
        <f t="shared" ref="G150:G155" si="122">(E150*F150)-1</f>
        <v>-1</v>
      </c>
      <c r="H150" t="str">
        <f t="shared" ref="H150:H155" si="123">IF(G150&gt;0.05,"Y","N")</f>
        <v>N</v>
      </c>
      <c r="I150">
        <f t="shared" ref="I150:I155" si="124">IF(H150="N",0,IFERROR(25*0.1*MAX(G150/(F150-1),0),0))</f>
        <v>0</v>
      </c>
      <c r="O150" t="s">
        <v>64</v>
      </c>
      <c r="P150" t="s">
        <v>66</v>
      </c>
      <c r="Q150" t="s">
        <v>4</v>
      </c>
      <c r="S150" s="3">
        <v>0</v>
      </c>
      <c r="T150">
        <f t="shared" ref="T150:T155" si="125">(R150*S150)-1</f>
        <v>-1</v>
      </c>
      <c r="U150" t="str">
        <f t="shared" ref="U150:U155" si="126">IF(T150&gt;0.05,"Y","N")</f>
        <v>N</v>
      </c>
      <c r="V150">
        <f t="shared" ref="V150:V155" si="127">IF(U150="N",0,IFERROR(25*0.1*MAX(T150/(S150-1),0),0))</f>
        <v>0</v>
      </c>
    </row>
    <row r="151" spans="2:22" x14ac:dyDescent="0.35">
      <c r="D151" t="s">
        <v>5</v>
      </c>
      <c r="E151">
        <v>0.24978800000000001</v>
      </c>
      <c r="F151" s="3">
        <v>0</v>
      </c>
      <c r="G151">
        <f t="shared" si="122"/>
        <v>-1</v>
      </c>
      <c r="H151" t="str">
        <f t="shared" si="123"/>
        <v>N</v>
      </c>
      <c r="I151">
        <f t="shared" si="124"/>
        <v>0</v>
      </c>
      <c r="Q151" t="s">
        <v>5</v>
      </c>
      <c r="S151" s="3">
        <v>0</v>
      </c>
      <c r="T151">
        <f t="shared" si="125"/>
        <v>-1</v>
      </c>
      <c r="U151" t="str">
        <f t="shared" si="126"/>
        <v>N</v>
      </c>
      <c r="V151">
        <f t="shared" si="127"/>
        <v>0</v>
      </c>
    </row>
    <row r="152" spans="2:22" x14ac:dyDescent="0.35">
      <c r="D152" s="2" t="s">
        <v>6</v>
      </c>
      <c r="E152">
        <v>0.24069499999999999</v>
      </c>
      <c r="F152">
        <v>0</v>
      </c>
      <c r="G152">
        <f t="shared" si="122"/>
        <v>-1</v>
      </c>
      <c r="H152" t="str">
        <f t="shared" si="123"/>
        <v>N</v>
      </c>
      <c r="I152">
        <f t="shared" si="124"/>
        <v>0</v>
      </c>
      <c r="Q152" s="2" t="s">
        <v>6</v>
      </c>
      <c r="S152">
        <v>0</v>
      </c>
      <c r="T152">
        <f t="shared" si="125"/>
        <v>-1</v>
      </c>
      <c r="U152" t="str">
        <f t="shared" si="126"/>
        <v>N</v>
      </c>
      <c r="V152">
        <f t="shared" si="127"/>
        <v>0</v>
      </c>
    </row>
    <row r="153" spans="2:22" x14ac:dyDescent="0.35">
      <c r="D153" t="s">
        <v>7</v>
      </c>
      <c r="E153">
        <f>E150+E151</f>
        <v>0.75930500000000001</v>
      </c>
      <c r="F153" s="4">
        <v>0</v>
      </c>
      <c r="G153">
        <f t="shared" si="122"/>
        <v>-1</v>
      </c>
      <c r="H153" t="str">
        <f t="shared" si="123"/>
        <v>N</v>
      </c>
      <c r="I153">
        <f t="shared" si="124"/>
        <v>0</v>
      </c>
      <c r="Q153" t="s">
        <v>7</v>
      </c>
      <c r="S153" s="4">
        <v>0</v>
      </c>
      <c r="T153">
        <f t="shared" si="125"/>
        <v>-1</v>
      </c>
      <c r="U153" t="str">
        <f t="shared" si="126"/>
        <v>N</v>
      </c>
      <c r="V153">
        <f t="shared" si="127"/>
        <v>0</v>
      </c>
    </row>
    <row r="154" spans="2:22" x14ac:dyDescent="0.35">
      <c r="D154" t="s">
        <v>8</v>
      </c>
      <c r="E154">
        <f>E151+E152</f>
        <v>0.490483</v>
      </c>
      <c r="F154" s="4">
        <v>0</v>
      </c>
      <c r="G154">
        <f t="shared" si="122"/>
        <v>-1</v>
      </c>
      <c r="H154" t="str">
        <f t="shared" si="123"/>
        <v>N</v>
      </c>
      <c r="I154">
        <f t="shared" si="124"/>
        <v>0</v>
      </c>
      <c r="Q154" t="s">
        <v>8</v>
      </c>
      <c r="S154" s="4">
        <v>0</v>
      </c>
      <c r="T154">
        <f t="shared" si="125"/>
        <v>-1</v>
      </c>
      <c r="U154" t="str">
        <f t="shared" si="126"/>
        <v>N</v>
      </c>
      <c r="V154">
        <f t="shared" si="127"/>
        <v>0</v>
      </c>
    </row>
    <row r="155" spans="2:22" x14ac:dyDescent="0.35">
      <c r="D155" t="s">
        <v>11</v>
      </c>
      <c r="E155">
        <f>E150+E152</f>
        <v>0.75021199999999999</v>
      </c>
      <c r="F155" s="4">
        <v>0</v>
      </c>
      <c r="G155">
        <f t="shared" si="122"/>
        <v>-1</v>
      </c>
      <c r="H155" t="str">
        <f t="shared" si="123"/>
        <v>N</v>
      </c>
      <c r="I155">
        <f t="shared" si="124"/>
        <v>0</v>
      </c>
      <c r="Q155" t="s">
        <v>11</v>
      </c>
      <c r="S155" s="4">
        <v>0</v>
      </c>
      <c r="T155">
        <f t="shared" si="125"/>
        <v>-1</v>
      </c>
      <c r="U155" t="str">
        <f t="shared" si="126"/>
        <v>N</v>
      </c>
      <c r="V155">
        <f t="shared" si="127"/>
        <v>0</v>
      </c>
    </row>
    <row r="157" spans="2:22" x14ac:dyDescent="0.35">
      <c r="B157" t="s">
        <v>67</v>
      </c>
      <c r="C157" t="s">
        <v>68</v>
      </c>
      <c r="D157" t="s">
        <v>4</v>
      </c>
      <c r="E157">
        <v>0.79157900000000003</v>
      </c>
      <c r="F157" s="3">
        <v>0</v>
      </c>
      <c r="G157">
        <f t="shared" ref="G157:G162" si="128">(E157*F157)-1</f>
        <v>-1</v>
      </c>
      <c r="H157" t="str">
        <f t="shared" ref="H157:H162" si="129">IF(G157&gt;0.05,"Y","N")</f>
        <v>N</v>
      </c>
      <c r="I157">
        <f t="shared" ref="I157:I162" si="130">IF(H157="N",0,IFERROR(25*0.1*MAX(G157/(F157-1),0),0))</f>
        <v>0</v>
      </c>
      <c r="O157" t="s">
        <v>67</v>
      </c>
      <c r="P157" t="s">
        <v>69</v>
      </c>
      <c r="Q157" t="s">
        <v>4</v>
      </c>
      <c r="S157" s="3">
        <v>0</v>
      </c>
      <c r="T157">
        <f t="shared" ref="T157:T162" si="131">(R157*S157)-1</f>
        <v>-1</v>
      </c>
      <c r="U157" t="str">
        <f t="shared" ref="U157:U162" si="132">IF(T157&gt;0.05,"Y","N")</f>
        <v>N</v>
      </c>
      <c r="V157">
        <f t="shared" ref="V157:V162" si="133">IF(U157="N",0,IFERROR(25*0.1*MAX(T157/(S157-1),0),0))</f>
        <v>0</v>
      </c>
    </row>
    <row r="158" spans="2:22" x14ac:dyDescent="0.35">
      <c r="D158" t="s">
        <v>5</v>
      </c>
      <c r="E158">
        <v>0.15099299999999999</v>
      </c>
      <c r="F158" s="3">
        <v>0</v>
      </c>
      <c r="G158">
        <f t="shared" si="128"/>
        <v>-1</v>
      </c>
      <c r="H158" t="str">
        <f t="shared" si="129"/>
        <v>N</v>
      </c>
      <c r="I158">
        <f t="shared" si="130"/>
        <v>0</v>
      </c>
      <c r="Q158" t="s">
        <v>5</v>
      </c>
      <c r="S158" s="3">
        <v>0</v>
      </c>
      <c r="T158">
        <f t="shared" si="131"/>
        <v>-1</v>
      </c>
      <c r="U158" t="str">
        <f t="shared" si="132"/>
        <v>N</v>
      </c>
      <c r="V158">
        <f t="shared" si="133"/>
        <v>0</v>
      </c>
    </row>
    <row r="159" spans="2:22" x14ac:dyDescent="0.35">
      <c r="D159" s="2" t="s">
        <v>6</v>
      </c>
      <c r="E159">
        <v>5.7428E-2</v>
      </c>
      <c r="F159">
        <v>0</v>
      </c>
      <c r="G159">
        <f t="shared" si="128"/>
        <v>-1</v>
      </c>
      <c r="H159" t="str">
        <f t="shared" si="129"/>
        <v>N</v>
      </c>
      <c r="I159">
        <f t="shared" si="130"/>
        <v>0</v>
      </c>
      <c r="Q159" s="2" t="s">
        <v>6</v>
      </c>
      <c r="S159">
        <v>0</v>
      </c>
      <c r="T159">
        <f t="shared" si="131"/>
        <v>-1</v>
      </c>
      <c r="U159" t="str">
        <f t="shared" si="132"/>
        <v>N</v>
      </c>
      <c r="V159">
        <f t="shared" si="133"/>
        <v>0</v>
      </c>
    </row>
    <row r="160" spans="2:22" x14ac:dyDescent="0.35">
      <c r="D160" t="s">
        <v>7</v>
      </c>
      <c r="E160">
        <f>E157+E158</f>
        <v>0.94257199999999997</v>
      </c>
      <c r="F160" s="4">
        <v>0</v>
      </c>
      <c r="G160">
        <f t="shared" si="128"/>
        <v>-1</v>
      </c>
      <c r="H160" t="str">
        <f t="shared" si="129"/>
        <v>N</v>
      </c>
      <c r="I160">
        <f t="shared" si="130"/>
        <v>0</v>
      </c>
      <c r="Q160" t="s">
        <v>7</v>
      </c>
      <c r="S160" s="4">
        <v>0</v>
      </c>
      <c r="T160">
        <f t="shared" si="131"/>
        <v>-1</v>
      </c>
      <c r="U160" t="str">
        <f t="shared" si="132"/>
        <v>N</v>
      </c>
      <c r="V160">
        <f t="shared" si="133"/>
        <v>0</v>
      </c>
    </row>
    <row r="161" spans="2:22" x14ac:dyDescent="0.35">
      <c r="D161" t="s">
        <v>8</v>
      </c>
      <c r="E161">
        <f>E158+E159</f>
        <v>0.208421</v>
      </c>
      <c r="F161" s="4">
        <v>0</v>
      </c>
      <c r="G161">
        <f t="shared" si="128"/>
        <v>-1</v>
      </c>
      <c r="H161" t="str">
        <f t="shared" si="129"/>
        <v>N</v>
      </c>
      <c r="I161">
        <f t="shared" si="130"/>
        <v>0</v>
      </c>
      <c r="Q161" t="s">
        <v>8</v>
      </c>
      <c r="S161" s="4">
        <v>0</v>
      </c>
      <c r="T161">
        <f t="shared" si="131"/>
        <v>-1</v>
      </c>
      <c r="U161" t="str">
        <f t="shared" si="132"/>
        <v>N</v>
      </c>
      <c r="V161">
        <f t="shared" si="133"/>
        <v>0</v>
      </c>
    </row>
    <row r="162" spans="2:22" x14ac:dyDescent="0.35">
      <c r="D162" t="s">
        <v>11</v>
      </c>
      <c r="E162">
        <f>E157+E159</f>
        <v>0.84900700000000007</v>
      </c>
      <c r="F162" s="4">
        <v>0</v>
      </c>
      <c r="G162">
        <f t="shared" si="128"/>
        <v>-1</v>
      </c>
      <c r="H162" t="str">
        <f t="shared" si="129"/>
        <v>N</v>
      </c>
      <c r="I162">
        <f t="shared" si="130"/>
        <v>0</v>
      </c>
      <c r="Q162" t="s">
        <v>11</v>
      </c>
      <c r="S162" s="4">
        <v>0</v>
      </c>
      <c r="T162">
        <f t="shared" si="131"/>
        <v>-1</v>
      </c>
      <c r="U162" t="str">
        <f t="shared" si="132"/>
        <v>N</v>
      </c>
      <c r="V162">
        <f t="shared" si="133"/>
        <v>0</v>
      </c>
    </row>
    <row r="164" spans="2:22" x14ac:dyDescent="0.35">
      <c r="B164" t="s">
        <v>69</v>
      </c>
      <c r="C164" t="s">
        <v>70</v>
      </c>
      <c r="D164" t="s">
        <v>4</v>
      </c>
      <c r="E164">
        <v>0.157831</v>
      </c>
      <c r="F164" s="3">
        <v>0</v>
      </c>
      <c r="G164">
        <f t="shared" ref="G164:G169" si="134">(E164*F164)-1</f>
        <v>-1</v>
      </c>
      <c r="H164" t="str">
        <f t="shared" ref="H164:H169" si="135">IF(G164&gt;0.05,"Y","N")</f>
        <v>N</v>
      </c>
      <c r="I164">
        <f t="shared" ref="I164:I169" si="136">IF(H164="N",0,IFERROR(25*0.1*MAX(G164/(F164-1),0),0))</f>
        <v>0</v>
      </c>
      <c r="O164" t="s">
        <v>70</v>
      </c>
      <c r="P164" t="s">
        <v>68</v>
      </c>
      <c r="Q164" t="s">
        <v>4</v>
      </c>
      <c r="S164" s="3">
        <v>0</v>
      </c>
      <c r="T164">
        <f t="shared" ref="T164:T169" si="137">(R164*S164)-1</f>
        <v>-1</v>
      </c>
      <c r="U164" t="str">
        <f t="shared" ref="U164:U169" si="138">IF(T164&gt;0.05,"Y","N")</f>
        <v>N</v>
      </c>
      <c r="V164">
        <f t="shared" ref="V164:V169" si="139">IF(U164="N",0,IFERROR(25*0.1*MAX(T164/(S164-1),0),0))</f>
        <v>0</v>
      </c>
    </row>
    <row r="165" spans="2:22" x14ac:dyDescent="0.35">
      <c r="D165" t="s">
        <v>5</v>
      </c>
      <c r="E165">
        <v>0.23305500000000001</v>
      </c>
      <c r="F165" s="3">
        <v>0</v>
      </c>
      <c r="G165">
        <f t="shared" si="134"/>
        <v>-1</v>
      </c>
      <c r="H165" t="str">
        <f t="shared" si="135"/>
        <v>N</v>
      </c>
      <c r="I165">
        <f t="shared" si="136"/>
        <v>0</v>
      </c>
      <c r="Q165" t="s">
        <v>5</v>
      </c>
      <c r="S165" s="3">
        <v>0</v>
      </c>
      <c r="T165">
        <f t="shared" si="137"/>
        <v>-1</v>
      </c>
      <c r="U165" t="str">
        <f t="shared" si="138"/>
        <v>N</v>
      </c>
      <c r="V165">
        <f t="shared" si="139"/>
        <v>0</v>
      </c>
    </row>
    <row r="166" spans="2:22" x14ac:dyDescent="0.35">
      <c r="D166" s="2" t="s">
        <v>6</v>
      </c>
      <c r="E166">
        <v>0.60911400000000004</v>
      </c>
      <c r="F166">
        <v>0</v>
      </c>
      <c r="G166">
        <f t="shared" si="134"/>
        <v>-1</v>
      </c>
      <c r="H166" t="str">
        <f t="shared" si="135"/>
        <v>N</v>
      </c>
      <c r="I166">
        <f t="shared" si="136"/>
        <v>0</v>
      </c>
      <c r="Q166" s="2" t="s">
        <v>6</v>
      </c>
      <c r="S166">
        <v>0</v>
      </c>
      <c r="T166">
        <f t="shared" si="137"/>
        <v>-1</v>
      </c>
      <c r="U166" t="str">
        <f t="shared" si="138"/>
        <v>N</v>
      </c>
      <c r="V166">
        <f t="shared" si="139"/>
        <v>0</v>
      </c>
    </row>
    <row r="167" spans="2:22" x14ac:dyDescent="0.35">
      <c r="D167" t="s">
        <v>7</v>
      </c>
      <c r="E167">
        <f>E164+E165</f>
        <v>0.39088600000000001</v>
      </c>
      <c r="F167" s="4">
        <v>0</v>
      </c>
      <c r="G167">
        <f t="shared" si="134"/>
        <v>-1</v>
      </c>
      <c r="H167" t="str">
        <f t="shared" si="135"/>
        <v>N</v>
      </c>
      <c r="I167">
        <f t="shared" si="136"/>
        <v>0</v>
      </c>
      <c r="Q167" t="s">
        <v>7</v>
      </c>
      <c r="S167" s="4">
        <v>0</v>
      </c>
      <c r="T167">
        <f t="shared" si="137"/>
        <v>-1</v>
      </c>
      <c r="U167" t="str">
        <f t="shared" si="138"/>
        <v>N</v>
      </c>
      <c r="V167">
        <f t="shared" si="139"/>
        <v>0</v>
      </c>
    </row>
    <row r="168" spans="2:22" x14ac:dyDescent="0.35">
      <c r="D168" t="s">
        <v>8</v>
      </c>
      <c r="E168">
        <f>E165+E166</f>
        <v>0.84216900000000006</v>
      </c>
      <c r="F168" s="4">
        <v>0</v>
      </c>
      <c r="G168">
        <f t="shared" si="134"/>
        <v>-1</v>
      </c>
      <c r="H168" t="str">
        <f t="shared" si="135"/>
        <v>N</v>
      </c>
      <c r="I168">
        <f t="shared" si="136"/>
        <v>0</v>
      </c>
      <c r="Q168" t="s">
        <v>8</v>
      </c>
      <c r="S168" s="4">
        <v>0</v>
      </c>
      <c r="T168">
        <f t="shared" si="137"/>
        <v>-1</v>
      </c>
      <c r="U168" t="str">
        <f t="shared" si="138"/>
        <v>N</v>
      </c>
      <c r="V168">
        <f t="shared" si="139"/>
        <v>0</v>
      </c>
    </row>
    <row r="169" spans="2:22" x14ac:dyDescent="0.35">
      <c r="D169" t="s">
        <v>11</v>
      </c>
      <c r="E169">
        <f>E164+E166</f>
        <v>0.76694499999999999</v>
      </c>
      <c r="F169" s="4">
        <v>0</v>
      </c>
      <c r="G169">
        <f t="shared" si="134"/>
        <v>-1</v>
      </c>
      <c r="H169" t="str">
        <f t="shared" si="135"/>
        <v>N</v>
      </c>
      <c r="I169">
        <f t="shared" si="136"/>
        <v>0</v>
      </c>
      <c r="Q169" t="s">
        <v>11</v>
      </c>
      <c r="S169" s="4">
        <v>0</v>
      </c>
      <c r="T169">
        <f t="shared" si="137"/>
        <v>-1</v>
      </c>
      <c r="U169" t="str">
        <f t="shared" si="138"/>
        <v>N</v>
      </c>
      <c r="V169">
        <f t="shared" si="139"/>
        <v>0</v>
      </c>
    </row>
    <row r="171" spans="2:22" x14ac:dyDescent="0.35">
      <c r="F171" s="3"/>
    </row>
    <row r="172" spans="2:22" x14ac:dyDescent="0.35">
      <c r="F172" s="3"/>
    </row>
    <row r="173" spans="2:22" x14ac:dyDescent="0.35">
      <c r="D173" s="2"/>
    </row>
    <row r="174" spans="2:22" x14ac:dyDescent="0.35">
      <c r="F174" s="4"/>
    </row>
    <row r="175" spans="2:22" x14ac:dyDescent="0.35">
      <c r="F175" s="4"/>
    </row>
    <row r="176" spans="2:22" x14ac:dyDescent="0.35">
      <c r="F176" s="4"/>
    </row>
    <row r="178" spans="4:6" x14ac:dyDescent="0.35">
      <c r="F178" s="3"/>
    </row>
    <row r="179" spans="4:6" x14ac:dyDescent="0.35">
      <c r="F179" s="3"/>
    </row>
    <row r="180" spans="4:6" x14ac:dyDescent="0.35">
      <c r="D180" s="2"/>
    </row>
    <row r="181" spans="4:6" x14ac:dyDescent="0.35">
      <c r="F181" s="4"/>
    </row>
    <row r="182" spans="4:6" x14ac:dyDescent="0.35">
      <c r="F182" s="4"/>
    </row>
    <row r="183" spans="4:6" x14ac:dyDescent="0.35">
      <c r="F18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Ashe Raymond-Barker</dc:creator>
  <cp:lastModifiedBy>Ashe Raymond-Barker</cp:lastModifiedBy>
  <dcterms:created xsi:type="dcterms:W3CDTF">2026-06-11T19:59:56Z</dcterms:created>
  <dcterms:modified xsi:type="dcterms:W3CDTF">2026-06-12T11:54:40Z</dcterms:modified>
</cp:coreProperties>
</file>